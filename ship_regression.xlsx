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5fe3971b1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회귀분석" sheetId="1" r:id="Red091109b91042f5"/>
    <x:sheet xmlns:r="http://schemas.openxmlformats.org/officeDocument/2006/relationships" name="원본자료" sheetId="2" r:id="R19d40b433f7e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"/>
  </x:numFmts>
  <x:fonts count="3">
    <x:font>
      <x:sz val="11"/>
      <x:name val="Carlito"/>
    </x:font>
    <x:font>
      <x:b/>
      <x:sz val="15"/>
      <x:color rgb="FFFFFFFF"/>
      <x:name val="Arial"/>
    </x:font>
    <x:font>
      <x:b/>
      <x:sz val="11"/>
      <x:color rgb="FF1532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eab45487f4b10" /><Relationship Type="http://schemas.openxmlformats.org/officeDocument/2006/relationships/theme" Target="/xl/theme/theme1.xml" Id="Rbeb6ac669e5542d5" /><Relationship Type="http://schemas.openxmlformats.org/officeDocument/2006/relationships/sharedStrings" Target="/xl/sharedStrings.xml" Id="Rcf5aad138e874889" /><Relationship Type="http://schemas.openxmlformats.org/officeDocument/2006/relationships/worksheet" Target="/xl/worksheets/sheet1.xml" Id="Red091109b91042f5" /><Relationship Type="http://schemas.openxmlformats.org/officeDocument/2006/relationships/worksheet" Target="/xl/worksheets/sheet2.xml" Id="R19d40b433f7e4a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c88605e39d40f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프루드 수와 잔여저항: 관측값 및 두 모형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관측 잔여저항</c:v>
          </c:tx>
          <c:xVal>
            <c:numLit>
              <c:formatCode>General</c:formatCode>
              <c:ptCount val="0"/>
            </c:numLit>
          </c:xVal>
          <c:yVal>
            <c:numRef>
              <c:f>'회귀분석'!$B$19:$B$326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선형 예측</c:v>
          </c:tx>
          <c:xVal>
            <c:numLit>
              <c:formatCode>General</c:formatCode>
              <c:ptCount val="0"/>
            </c:numLit>
          </c:xVal>
          <c:yVal>
            <c:numRef>
              <c:f>'회귀분석'!$C$19:$C$326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2차 예측</c:v>
          </c:tx>
          <c:xVal>
            <c:numLit>
              <c:formatCode>General</c:formatCode>
              <c:ptCount val="0"/>
            </c:numLit>
          </c:xVal>
          <c:yVal>
            <c:numRef>
              <c:f>'회귀분석'!$D$19:$D$326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c88605e39d40f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280dbc2512f4eb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22" hidden="0" customWidth="1"/>
    <x:col min="5" max="5" width="23" hidden="0" customWidth="1"/>
    <x:col min="8" max="8" width="17" hidden="0" customWidth="1"/>
    <x:col min="9" max="9" width="17" hidden="0" customWidth="1"/>
  </x:cols>
  <x:sheetData>
    <x:row r="1">
      <x:c r="A1" s="2" t="str">
        <x:v>요트 선체의 속도 조건과 잔여저항 · 회귀 비교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>
      <x:c r="A3" t="str">
        <x:v>설명변수 X</x:v>
      </x:c>
      <x:c r="B3" t="str">
        <x:v>프루드 수 (속도·선박 길이를 반영한 무차원 수)</x:v>
      </x:c>
    </x:row>
    <x:row r="4">
      <x:c r="A4" s="4" t="str">
        <x:v>목표변수 Y</x:v>
      </x:c>
      <x:c r="B4" s="4" t="str">
        <x:v>잔여저항 / 배수중량 (무차원)</x:v>
      </x:c>
      <x:c r="C4" s="4"/>
      <x:c r="D4" s="4"/>
      <x:c r="E4" s="4"/>
      <x:c r="F4" s="4"/>
      <x:c r="G4" s="4"/>
      <x:c r="H4" s="4" t="str">
        <x:v>X (프루드 수)</x:v>
      </x:c>
      <x:c r="I4" s="4" t="str">
        <x:v>X²</x:v>
      </x:c>
      <x:c r="J4" s="4"/>
      <x:c r="K4" t="str">
        <x:v>중심합</x:v>
      </x:c>
      <x:c r="L4" t="str">
        <x:v>값</x:v>
      </x:c>
    </x:row>
    <x:row r="5">
      <x:c r="A5" t="str">
        <x:v>2차 계수 a</x:v>
      </x:c>
      <x:c r="B5" t="n">
        <x:v>0</x:v>
      </x:c>
      <x:c r="D5" t="str">
        <x:v>2차 계수 a</x:v>
      </x:c>
      <x:c r="E5" s="5" t="n">
        <x:f>(L9*L5-L8*L6)/L10</x:f>
        <x:v>871.0309690313951</x:v>
      </x:c>
      <x:c r="H5" t="n">
        <x:f>원본자료!F5</x:f>
        <x:v>0.125</x:v>
      </x:c>
      <x:c r="I5" t="n">
        <x:f>원본자료!H5</x:f>
        <x:v>0.015625</x:v>
      </x:c>
      <x:c r="K5" t="str">
        <x:v>Cxx</x:v>
      </x:c>
      <x:c r="L5" t="n">
        <x:f>SUMSQ(H5:H312)-SUM(H5:H312)^2/B10</x:f>
        <x:v>3.1281249999999794</x:v>
      </x:c>
    </x:row>
    <x:row r="6">
      <x:c r="A6" t="str">
        <x:v>1차 계수 b</x:v>
      </x:c>
      <x:c r="B6" s="5" t="n">
        <x:f>SLOPE(원본자료!G5:G312,원본자료!F5:F312)</x:f>
        <x:v>121.6675724275723</x:v>
      </x:c>
      <x:c r="D6" t="str">
        <x:v>1차 계수 b</x:v>
      </x:c>
      <x:c r="E6" s="5" t="n">
        <x:f>(L8*L7-L9*L6)/L10</x:f>
        <x:v>-379.1752347654842</x:v>
      </x:c>
      <x:c r="H6" t="n">
        <x:f>원본자료!F6</x:f>
        <x:v>0.15</x:v>
      </x:c>
      <x:c r="I6" t="n">
        <x:f>원본자료!H6</x:f>
        <x:v>0.0225</x:v>
      </x:c>
      <x:c r="K6" t="str">
        <x:v>Cxz</x:v>
      </x:c>
      <x:c r="L6" t="n">
        <x:f>SUMPRODUCT(H5:H312,I5:I312)-SUM(H5:H312)*SUM(I5:I312)/B10</x:f>
        <x:v>1.7986718750000055</x:v>
      </x:c>
    </x:row>
    <x:row r="7">
      <x:c r="A7" t="str">
        <x:v>절편 c</x:v>
      </x:c>
      <x:c r="B7" s="5" t="n">
        <x:f>INTERCEPT(원본자료!G5:G312,원본자료!F5:F312)</x:f>
        <x:v>-24.4840699300699</x:v>
      </x:c>
      <x:c r="D7" t="str">
        <x:v>절편 c</x:v>
      </x:c>
      <x:c r="E7" s="5" t="n">
        <x:f>(SUM(원본자료!G5:G312)-E6*SUM(H5:H312)-E5*SUM(I5:I312))/B10</x:f>
        <x:v>38.665675324707564</x:v>
      </x:c>
      <x:c r="H7" t="n">
        <x:f>원본자료!F7</x:f>
        <x:v>0.175</x:v>
      </x:c>
      <x:c r="I7" t="n">
        <x:f>원본자료!H7</x:f>
        <x:v>0.030624999999999996</x:v>
      </x:c>
      <x:c r="K7" t="str">
        <x:v>Czz</x:v>
      </x:c>
      <x:c r="L7" t="n">
        <x:f>SUMSQ(I5:I312)-SUM(I5:I312)^2/B10</x:f>
        <x:v>1.059261328124999</x:v>
      </x:c>
    </x:row>
    <x:row r="8">
      <x:c r="A8" t="str">
        <x:v>결정계수 R²</x:v>
      </x:c>
      <x:c r="B8" s="5" t="n">
        <x:f>1-SUMXMY2(원본자료!G5:G312,원본자료!I5:I312)/DEVSQ(원본자료!G5:G312)</x:f>
        <x:v>0.6562494115841699</x:v>
      </x:c>
      <x:c r="D8" t="str">
        <x:v>결정계수 R²</x:v>
      </x:c>
      <x:c r="E8" s="5" t="n">
        <x:f>1-SUMXMY2(원본자료!G5:G312,원본자료!J5:J312)/DEVSQ(원본자료!G5:G312)</x:f>
        <x:v>0.9253263149476972</x:v>
      </x:c>
      <x:c r="H8" t="n">
        <x:f>원본자료!F8</x:f>
        <x:v>0.2</x:v>
      </x:c>
      <x:c r="I8" t="n">
        <x:f>원본자료!H8</x:f>
        <x:v>0.04000000000000001</x:v>
      </x:c>
      <x:c r="K8" t="str">
        <x:v>Cxy</x:v>
      </x:c>
      <x:c r="L8" t="n">
        <x:f>SUMPRODUCT(H5:H312,원본자료!G5:G312)-SUM(H5:H312)*SUM(원본자료!G5:G312)/B10</x:f>
        <x:v>380.59137499999974</x:v>
      </x:c>
    </x:row>
    <x:row r="9">
      <x:c r="A9" t="str">
        <x:v>RMSE</x:v>
      </x:c>
      <x:c r="B9" s="5" t="n">
        <x:f>SQRT(SUMXMY2(원본자료!G5:G312,원본자료!I5:I312)/B10)</x:f>
        <x:v>8.874191490077997</x:v>
      </x:c>
      <x:c r="D9" t="str">
        <x:v>RMSE</x:v>
      </x:c>
      <x:c r="E9" s="5" t="n">
        <x:f>SQRT(SUMXMY2(원본자료!G5:G312,원본자료!J5:J312)/E10)</x:f>
        <x:v>4.136098402531867</x:v>
      </x:c>
      <x:c r="H9" t="n">
        <x:f>원본자료!F9</x:f>
        <x:v>0.225</x:v>
      </x:c>
      <x:c r="I9" t="n">
        <x:f>원본자료!H9</x:f>
        <x:v>0.050625</x:v>
      </x:c>
      <x:c r="K9" t="str">
        <x:v>Czy</x:v>
      </x:c>
      <x:c r="L9" t="n">
        <x:f>SUMPRODUCT(I5:I312,원본자료!G5:G312)-SUM(I5:I312)*SUM(원본자료!G5:G312)/B10</x:f>
        <x:v>240.6375906250003</x:v>
      </x:c>
    </x:row>
    <x:row r="10">
      <x:c r="A10" t="str">
        <x:v>관측치 수</x:v>
      </x:c>
      <x:c r="B10" t="n">
        <x:f>COUNT(원본자료!G5:G312)</x:f>
        <x:v>308</x:v>
      </x:c>
      <x:c r="D10" t="str">
        <x:v>관측치 수</x:v>
      </x:c>
      <x:c r="E10" t="n">
        <x:f>B10</x:f>
        <x:v>308</x:v>
      </x:c>
      <x:c r="H10" t="n">
        <x:f>원본자료!F10</x:f>
        <x:v>0.25</x:v>
      </x:c>
      <x:c r="I10" t="n">
        <x:f>원본자료!H10</x:f>
        <x:v>0.0625</x:v>
      </x:c>
      <x:c r="K10" t="str">
        <x:v>행렬식 D</x:v>
      </x:c>
      <x:c r="L10" t="n">
        <x:f>L5*L7-L6^2</x:f>
        <x:v>0.07828132812495525</x:v>
      </x:c>
    </x:row>
    <x:row r="11">
      <x:c r="A11" t="str">
        <x:v>모형</x:v>
      </x:c>
      <x:c r="B11" t="str">
        <x:v>Y = bX + c</x:v>
      </x:c>
      <x:c r="D11" t="str">
        <x:v>모형</x:v>
      </x:c>
      <x:c r="E11" t="str">
        <x:v>Y = aX² + bX + c</x:v>
      </x:c>
      <x:c r="H11" t="n">
        <x:f>원본자료!F11</x:f>
        <x:v>0.275</x:v>
      </x:c>
      <x:c r="I11" t="n">
        <x:f>원본자료!H11</x:f>
        <x:v>0.07562500000000001</x:v>
      </x:c>
    </x:row>
    <x:row r="12">
      <x:c r="H12" t="n">
        <x:f>원본자료!F12</x:f>
        <x:v>0.3</x:v>
      </x:c>
      <x:c r="I12" t="n">
        <x:f>원본자료!H12</x:f>
        <x:v>0.09</x:v>
      </x:c>
    </x:row>
    <x:row r="13">
      <x:c r="A13" t="str">
        <x:v>해석: R²는 높고 RMSE는 낮을수록 이 데이터의 관측값에 더 가깝습니다. 동일 자료로 적합한 값이므로 예측 성능의 증거는 아닙니다.</x:v>
      </x:c>
      <x:c r="H13" t="n">
        <x:f>원본자료!F13</x:f>
        <x:v>0.325</x:v>
      </x:c>
      <x:c r="I13" t="n">
        <x:f>원본자료!H13</x:f>
        <x:v>0.10562500000000001</x:v>
      </x:c>
    </x:row>
    <x:row r="14">
      <x:c r="A14" t="str">
        <x:v>주의: 서로 다른 22개 선체의 실험값을 합친 단변량 분석입니다. 저항은 선체 형상에도 영향을 받으며, 프루드 수는 실제 속도(knots)가 아닙니다.</x:v>
      </x:c>
      <x:c r="H14" t="n">
        <x:f>원본자료!F14</x:f>
        <x:v>0.35</x:v>
      </x:c>
      <x:c r="I14" t="n">
        <x:f>원본자료!H14</x:f>
        <x:v>0.12249999999999998</x:v>
      </x:c>
    </x:row>
    <x:row r="15">
      <x:c r="A15" t="str">
        <x:v>데이터와 계수는 원본자료 탭에 연결됩니다. E5:E7은 중심합 기반 최소제곱식으로 계산됩니다. 수정 후 Excel에서 자동 계산을 켜세요.</x:v>
      </x:c>
      <x:c r="H15" t="n">
        <x:f>원본자료!F15</x:f>
        <x:v>0.375</x:v>
      </x:c>
      <x:c r="I15" t="n">
        <x:f>원본자료!H15</x:f>
        <x:v>0.140625</x:v>
      </x:c>
    </x:row>
    <x:row r="16">
      <x:c r="H16" t="n">
        <x:f>원본자료!F16</x:f>
        <x:v>0.4</x:v>
      </x:c>
      <x:c r="I16" t="n">
        <x:f>원본자료!H16</x:f>
        <x:v>0.16000000000000003</x:v>
      </x:c>
    </x:row>
    <x:row r="17">
      <x:c r="A17" t="str">
        <x:v>그래프 자료: 전체 308개 관측치와 두 회귀 예측값</x:v>
      </x:c>
      <x:c r="H17" t="n">
        <x:f>원본자료!F17</x:f>
        <x:v>0.425</x:v>
      </x:c>
      <x:c r="I17" t="n">
        <x:f>원본자료!H17</x:f>
        <x:v>0.18062499999999998</x:v>
      </x:c>
    </x:row>
    <x:row r="18">
      <x:c r="A18" t="str">
        <x:v>프루드 수</x:v>
      </x:c>
      <x:c r="B18" t="str">
        <x:v>관측 잔여저항</x:v>
      </x:c>
      <x:c r="C18" t="str">
        <x:v>선형 예측</x:v>
      </x:c>
      <x:c r="D18" t="str">
        <x:v>2차 예측</x:v>
      </x:c>
      <x:c r="H18" t="n">
        <x:f>원본자료!F18</x:f>
        <x:v>0.45</x:v>
      </x:c>
      <x:c r="I18" t="n">
        <x:f>원본자료!H18</x:f>
        <x:v>0.2025</x:v>
      </x:c>
    </x:row>
    <x:row r="19">
      <x:c r="A19" t="n">
        <x:f>원본자료!F5</x:f>
        <x:v>0.125</x:v>
      </x:c>
      <x:c r="B19" t="n">
        <x:f>원본자료!G5</x:f>
        <x:v>0.11</x:v>
      </x:c>
      <x:c r="C19" t="n">
        <x:f>원본자료!I5</x:f>
        <x:v>-9.275623376623363</x:v>
      </x:c>
      <x:c r="D19" t="n">
        <x:f>원본자료!J5</x:f>
        <x:v>4.878629870137585</x:v>
      </x:c>
      <x:c r="H19" t="n">
        <x:f>원본자료!F19</x:f>
        <x:v>0.125</x:v>
      </x:c>
      <x:c r="I19" t="n">
        <x:f>원본자료!H19</x:f>
        <x:v>0.015625</x:v>
      </x:c>
    </x:row>
    <x:row r="20">
      <x:c r="A20" t="n">
        <x:f>원본자료!F6</x:f>
        <x:v>0.15</x:v>
      </x:c>
      <x:c r="B20" t="n">
        <x:f>원본자료!G6</x:f>
        <x:v>0.27</x:v>
      </x:c>
      <x:c r="C20" t="n">
        <x:f>원본자료!I6</x:f>
        <x:v>-6.233934065934058</x:v>
      </x:c>
      <x:c r="D20" t="n">
        <x:f>원본자료!J6</x:f>
        <x:v>1.3875869130913223</x:v>
      </x:c>
      <x:c r="H20" t="n">
        <x:f>원본자료!F20</x:f>
        <x:v>0.15</x:v>
      </x:c>
      <x:c r="I20" t="n">
        <x:f>원본자료!H20</x:f>
        <x:v>0.0225</x:v>
      </x:c>
    </x:row>
    <x:row r="21">
      <x:c r="A21" t="n">
        <x:f>원본자료!F7</x:f>
        <x:v>0.175</x:v>
      </x:c>
      <x:c r="B21" t="n">
        <x:f>원본자료!G7</x:f>
        <x:v>0.47</x:v>
      </x:c>
      <x:c r="C21" t="n">
        <x:f>원본자료!I7</x:f>
        <x:v>-3.192244755244751</x:v>
      </x:c>
      <x:c r="D21" t="n">
        <x:f>원본자료!J7</x:f>
        <x:v>-1.0146673326656988</x:v>
      </x:c>
      <x:c r="H21" t="n">
        <x:f>원본자료!F21</x:f>
        <x:v>0.175</x:v>
      </x:c>
      <x:c r="I21" t="n">
        <x:f>원본자료!H21</x:f>
        <x:v>0.030624999999999996</x:v>
      </x:c>
    </x:row>
    <x:row r="22">
      <x:c r="A22" t="n">
        <x:f>원본자료!F8</x:f>
        <x:v>0.2</x:v>
      </x:c>
      <x:c r="B22" t="n">
        <x:f>원본자료!G8</x:f>
        <x:v>0.78</x:v>
      </x:c>
      <x:c r="C22" t="n">
        <x:f>원본자료!I8</x:f>
        <x:v>-0.15055544455544023</x:v>
      </x:c>
      <x:c r="D22" t="n">
        <x:f>원본자료!J8</x:f>
        <x:v>-2.3281328671334762</x:v>
      </x:c>
      <x:c r="H22" t="n">
        <x:f>원본자료!F22</x:f>
        <x:v>0.2</x:v>
      </x:c>
      <x:c r="I22" t="n">
        <x:f>원본자료!H22</x:f>
        <x:v>0.04000000000000001</x:v>
      </x:c>
    </x:row>
    <x:row r="23">
      <x:c r="A23" t="n">
        <x:f>원본자료!F9</x:f>
        <x:v>0.225</x:v>
      </x:c>
      <x:c r="B23" t="n">
        <x:f>원본자료!G9</x:f>
        <x:v>1.18</x:v>
      </x:c>
      <x:c r="C23" t="n">
        <x:f>원본자료!I9</x:f>
        <x:v>2.891133866133867</x:v>
      </x:c>
      <x:c r="D23" t="n">
        <x:f>원본자료!J9</x:f>
        <x:v>-2.55280969031201</x:v>
      </x:c>
      <x:c r="H23" t="n">
        <x:f>원본자료!F23</x:f>
        <x:v>0.225</x:v>
      </x:c>
      <x:c r="I23" t="n">
        <x:f>원본자료!H23</x:f>
        <x:v>0.050625</x:v>
      </x:c>
    </x:row>
    <x:row r="24">
      <x:c r="A24" t="n">
        <x:f>원본자료!F10</x:f>
        <x:v>0.25</x:v>
      </x:c>
      <x:c r="B24" t="n">
        <x:f>원본자료!G10</x:f>
        <x:v>1.82</x:v>
      </x:c>
      <x:c r="C24" t="n">
        <x:f>원본자료!I10</x:f>
        <x:v>5.932823176823174</x:v>
      </x:c>
      <x:c r="D24" t="n">
        <x:f>원본자료!J10</x:f>
        <x:v>-1.6886978022012968</x:v>
      </x:c>
      <x:c r="H24" t="n">
        <x:f>원본자료!F24</x:f>
        <x:v>0.25</x:v>
      </x:c>
      <x:c r="I24" t="n">
        <x:f>원본자료!H24</x:f>
        <x:v>0.0625</x:v>
      </x:c>
    </x:row>
    <x:row r="25">
      <x:c r="A25" t="n">
        <x:f>원본자료!F11</x:f>
        <x:v>0.275</x:v>
      </x:c>
      <x:c r="B25" t="n">
        <x:f>원본자료!G11</x:f>
        <x:v>2.61</x:v>
      </x:c>
      <x:c r="C25" t="n">
        <x:f>원본자료!I11</x:f>
        <x:v>8.974512487512484</x:v>
      </x:c>
      <x:c r="D25" t="n">
        <x:f>원본자료!J11</x:f>
        <x:v>0.2642027971986636</x:v>
      </x:c>
      <x:c r="H25" t="n">
        <x:f>원본자료!F25</x:f>
        <x:v>0.275</x:v>
      </x:c>
      <x:c r="I25" t="n">
        <x:f>원본자료!H25</x:f>
        <x:v>0.07562500000000001</x:v>
      </x:c>
    </x:row>
    <x:row r="26">
      <x:c r="A26" t="n">
        <x:f>원본자료!F12</x:f>
        <x:v>0.3</x:v>
      </x:c>
      <x:c r="B26" t="n">
        <x:f>원본자료!G12</x:f>
        <x:v>3.76</x:v>
      </x:c>
      <x:c r="C26" t="n">
        <x:f>원본자료!I12</x:f>
        <x:v>12.016201798201784</x:v>
      </x:c>
      <x:c r="D26" t="n">
        <x:f>원본자료!J12</x:f>
        <x:v>3.305892107887857</x:v>
      </x:c>
      <x:c r="H26" t="n">
        <x:f>원본자료!F26</x:f>
        <x:v>0.3</x:v>
      </x:c>
      <x:c r="I26" t="n">
        <x:f>원본자료!H26</x:f>
        <x:v>0.09</x:v>
      </x:c>
    </x:row>
    <x:row r="27">
      <x:c r="A27" t="n">
        <x:f>원본자료!F13</x:f>
        <x:v>0.325</x:v>
      </x:c>
      <x:c r="B27" t="n">
        <x:f>원본자료!G13</x:f>
        <x:v>4.99</x:v>
      </x:c>
      <x:c r="C27" t="n">
        <x:f>원본자료!I13</x:f>
        <x:v>15.057891108891098</x:v>
      </x:c>
      <x:c r="D27" t="n">
        <x:f>원본자료!J13</x:f>
        <x:v>7.4363701298663045</x:v>
      </x:c>
      <x:c r="H27" t="n">
        <x:f>원본자료!F27</x:f>
        <x:v>0.325</x:v>
      </x:c>
      <x:c r="I27" t="n">
        <x:f>원본자료!H27</x:f>
        <x:v>0.10562500000000001</x:v>
      </x:c>
    </x:row>
    <x:row r="28">
      <x:c r="A28" t="n">
        <x:f>원본자료!F14</x:f>
        <x:v>0.35</x:v>
      </x:c>
      <x:c r="B28" t="n">
        <x:f>원본자료!G14</x:f>
        <x:v>7.16</x:v>
      </x:c>
      <x:c r="C28" t="n">
        <x:f>원본자료!I14</x:f>
        <x:v>18.0995804195804</x:v>
      </x:c>
      <x:c r="D28" t="n">
        <x:f>원본자료!J14</x:f>
        <x:v>12.655636863133978</x:v>
      </x:c>
      <x:c r="H28" t="n">
        <x:f>원본자료!F28</x:f>
        <x:v>0.35</x:v>
      </x:c>
      <x:c r="I28" t="n">
        <x:f>원본자료!H28</x:f>
        <x:v>0.12249999999999998</x:v>
      </x:c>
    </x:row>
    <x:row r="29">
      <x:c r="A29" t="n">
        <x:f>원본자료!F15</x:f>
        <x:v>0.375</x:v>
      </x:c>
      <x:c r="B29" t="n">
        <x:f>원본자료!G15</x:f>
        <x:v>11.93</x:v>
      </x:c>
      <x:c r="C29" t="n">
        <x:f>원본자료!I15</x:f>
        <x:v>21.141269730269713</x:v>
      </x:c>
      <x:c r="D29" t="n">
        <x:f>원본자료!J15</x:f>
        <x:v>18.96369230769092</x:v>
      </x:c>
      <x:c r="H29" t="n">
        <x:f>원본자료!F29</x:f>
        <x:v>0.375</x:v>
      </x:c>
      <x:c r="I29" t="n">
        <x:f>원본자료!H29</x:f>
        <x:v>0.140625</x:v>
      </x:c>
    </x:row>
    <x:row r="30">
      <x:c r="A30" t="n">
        <x:f>원본자료!F16</x:f>
        <x:v>0.4</x:v>
      </x:c>
      <x:c r="B30" t="n">
        <x:f>원본자료!G16</x:f>
        <x:v>20.11</x:v>
      </x:c>
      <x:c r="C30" t="n">
        <x:f>원본자료!I16</x:f>
        <x:v>24.18295904095902</x:v>
      </x:c>
      <x:c r="D30" t="n">
        <x:f>원본자료!J16</x:f>
        <x:v>26.360536463537102</x:v>
      </x:c>
      <x:c r="H30" t="n">
        <x:f>원본자료!F30</x:f>
        <x:v>0.4</x:v>
      </x:c>
      <x:c r="I30" t="n">
        <x:f>원본자료!H30</x:f>
        <x:v>0.16000000000000003</x:v>
      </x:c>
    </x:row>
    <x:row r="31">
      <x:c r="A31" t="n">
        <x:f>원본자료!F17</x:f>
        <x:v>0.425</x:v>
      </x:c>
      <x:c r="B31" t="n">
        <x:f>원본자료!G17</x:f>
        <x:v>32.75</x:v>
      </x:c>
      <x:c r="C31" t="n">
        <x:f>원본자료!I17</x:f>
        <x:v>27.224648351648327</x:v>
      </x:c>
      <x:c r="D31" t="n">
        <x:f>원본자료!J17</x:f>
        <x:v>34.846169330672495</x:v>
      </x:c>
      <x:c r="H31" t="n">
        <x:f>원본자료!F31</x:f>
        <x:v>0.425</x:v>
      </x:c>
      <x:c r="I31" t="n">
        <x:f>원본자료!H31</x:f>
        <x:v>0.18062499999999998</x:v>
      </x:c>
    </x:row>
    <x:row r="32">
      <x:c r="A32" t="n">
        <x:f>원본자료!F18</x:f>
        <x:v>0.45</x:v>
      </x:c>
      <x:c r="B32" t="n">
        <x:f>원본자료!G18</x:f>
        <x:v>49.49</x:v>
      </x:c>
      <x:c r="C32" t="n">
        <x:f>원본자료!I18</x:f>
        <x:v>30.266337662337634</x:v>
      </x:c>
      <x:c r="D32" t="n">
        <x:f>원본자료!J18</x:f>
        <x:v>44.42059090909717</x:v>
      </x:c>
      <x:c r="H32" t="n">
        <x:f>원본자료!F32</x:f>
        <x:v>0.45</x:v>
      </x:c>
      <x:c r="I32" t="n">
        <x:f>원본자료!H32</x:f>
        <x:v>0.2025</x:v>
      </x:c>
    </x:row>
    <x:row r="33">
      <x:c r="A33" t="n">
        <x:f>원본자료!F19</x:f>
        <x:v>0.125</x:v>
      </x:c>
      <x:c r="B33" t="n">
        <x:f>원본자료!G19</x:f>
        <x:v>0.04</x:v>
      </x:c>
      <x:c r="C33" t="n">
        <x:f>원본자료!I19</x:f>
        <x:v>-9.275623376623363</x:v>
      </x:c>
      <x:c r="D33" t="n">
        <x:f>원본자료!J19</x:f>
        <x:v>4.878629870137585</x:v>
      </x:c>
      <x:c r="H33" t="n">
        <x:f>원본자료!F33</x:f>
        <x:v>0.125</x:v>
      </x:c>
      <x:c r="I33" t="n">
        <x:f>원본자료!H33</x:f>
        <x:v>0.015625</x:v>
      </x:c>
    </x:row>
    <x:row r="34">
      <x:c r="A34" t="n">
        <x:f>원본자료!F20</x:f>
        <x:v>0.15</x:v>
      </x:c>
      <x:c r="B34" t="n">
        <x:f>원본자료!G20</x:f>
        <x:v>0.17</x:v>
      </x:c>
      <x:c r="C34" t="n">
        <x:f>원본자료!I20</x:f>
        <x:v>-6.233934065934058</x:v>
      </x:c>
      <x:c r="D34" t="n">
        <x:f>원본자료!J20</x:f>
        <x:v>1.3875869130913223</x:v>
      </x:c>
      <x:c r="H34" t="n">
        <x:f>원본자료!F34</x:f>
        <x:v>0.15</x:v>
      </x:c>
      <x:c r="I34" t="n">
        <x:f>원본자료!H34</x:f>
        <x:v>0.0225</x:v>
      </x:c>
    </x:row>
    <x:row r="35">
      <x:c r="A35" t="n">
        <x:f>원본자료!F21</x:f>
        <x:v>0.175</x:v>
      </x:c>
      <x:c r="B35" t="n">
        <x:f>원본자료!G21</x:f>
        <x:v>0.37</x:v>
      </x:c>
      <x:c r="C35" t="n">
        <x:f>원본자료!I21</x:f>
        <x:v>-3.192244755244751</x:v>
      </x:c>
      <x:c r="D35" t="n">
        <x:f>원본자료!J21</x:f>
        <x:v>-1.0146673326656988</x:v>
      </x:c>
      <x:c r="H35" t="n">
        <x:f>원본자료!F35</x:f>
        <x:v>0.175</x:v>
      </x:c>
      <x:c r="I35" t="n">
        <x:f>원본자료!H35</x:f>
        <x:v>0.030624999999999996</x:v>
      </x:c>
    </x:row>
    <x:row r="36">
      <x:c r="A36" t="n">
        <x:f>원본자료!F22</x:f>
        <x:v>0.2</x:v>
      </x:c>
      <x:c r="B36" t="n">
        <x:f>원본자료!G22</x:f>
        <x:v>0.66</x:v>
      </x:c>
      <x:c r="C36" t="n">
        <x:f>원본자료!I22</x:f>
        <x:v>-0.15055544455544023</x:v>
      </x:c>
      <x:c r="D36" t="n">
        <x:f>원본자료!J22</x:f>
        <x:v>-2.3281328671334762</x:v>
      </x:c>
      <x:c r="H36" t="n">
        <x:f>원본자료!F36</x:f>
        <x:v>0.2</x:v>
      </x:c>
      <x:c r="I36" t="n">
        <x:f>원본자료!H36</x:f>
        <x:v>0.04000000000000001</x:v>
      </x:c>
    </x:row>
    <x:row r="37">
      <x:c r="A37" t="n">
        <x:f>원본자료!F23</x:f>
        <x:v>0.225</x:v>
      </x:c>
      <x:c r="B37" t="n">
        <x:f>원본자료!G23</x:f>
        <x:v>1.06</x:v>
      </x:c>
      <x:c r="C37" t="n">
        <x:f>원본자료!I23</x:f>
        <x:v>2.891133866133867</x:v>
      </x:c>
      <x:c r="D37" t="n">
        <x:f>원본자료!J23</x:f>
        <x:v>-2.55280969031201</x:v>
      </x:c>
      <x:c r="H37" t="n">
        <x:f>원본자료!F37</x:f>
        <x:v>0.225</x:v>
      </x:c>
      <x:c r="I37" t="n">
        <x:f>원본자료!H37</x:f>
        <x:v>0.050625</x:v>
      </x:c>
    </x:row>
    <x:row r="38">
      <x:c r="A38" t="n">
        <x:f>원본자료!F24</x:f>
        <x:v>0.25</x:v>
      </x:c>
      <x:c r="B38" t="n">
        <x:f>원본자료!G24</x:f>
        <x:v>1.59</x:v>
      </x:c>
      <x:c r="C38" t="n">
        <x:f>원본자료!I24</x:f>
        <x:v>5.932823176823174</x:v>
      </x:c>
      <x:c r="D38" t="n">
        <x:f>원본자료!J24</x:f>
        <x:v>-1.6886978022012968</x:v>
      </x:c>
      <x:c r="H38" t="n">
        <x:f>원본자료!F38</x:f>
        <x:v>0.25</x:v>
      </x:c>
      <x:c r="I38" t="n">
        <x:f>원본자료!H38</x:f>
        <x:v>0.0625</x:v>
      </x:c>
    </x:row>
    <x:row r="39">
      <x:c r="A39" t="n">
        <x:f>원본자료!F25</x:f>
        <x:v>0.275</x:v>
      </x:c>
      <x:c r="B39" t="n">
        <x:f>원본자료!G25</x:f>
        <x:v>2.33</x:v>
      </x:c>
      <x:c r="C39" t="n">
        <x:f>원본자료!I25</x:f>
        <x:v>8.974512487512484</x:v>
      </x:c>
      <x:c r="D39" t="n">
        <x:f>원본자료!J25</x:f>
        <x:v>0.2642027971986636</x:v>
      </x:c>
      <x:c r="H39" t="n">
        <x:f>원본자료!F39</x:f>
        <x:v>0.275</x:v>
      </x:c>
      <x:c r="I39" t="n">
        <x:f>원본자료!H39</x:f>
        <x:v>0.07562500000000001</x:v>
      </x:c>
    </x:row>
    <x:row r="40">
      <x:c r="A40" t="n">
        <x:f>원본자료!F26</x:f>
        <x:v>0.3</x:v>
      </x:c>
      <x:c r="B40" t="n">
        <x:f>원본자료!G26</x:f>
        <x:v>3.29</x:v>
      </x:c>
      <x:c r="C40" t="n">
        <x:f>원본자료!I26</x:f>
        <x:v>12.016201798201784</x:v>
      </x:c>
      <x:c r="D40" t="n">
        <x:f>원본자료!J26</x:f>
        <x:v>3.305892107887857</x:v>
      </x:c>
      <x:c r="H40" t="n">
        <x:f>원본자료!F40</x:f>
        <x:v>0.3</x:v>
      </x:c>
      <x:c r="I40" t="n">
        <x:f>원본자료!H40</x:f>
        <x:v>0.09</x:v>
      </x:c>
    </x:row>
    <x:row r="41">
      <x:c r="A41" t="n">
        <x:f>원본자료!F27</x:f>
        <x:v>0.325</x:v>
      </x:c>
      <x:c r="B41" t="n">
        <x:f>원본자료!G27</x:f>
        <x:v>4.61</x:v>
      </x:c>
      <x:c r="C41" t="n">
        <x:f>원본자료!I27</x:f>
        <x:v>15.057891108891098</x:v>
      </x:c>
      <x:c r="D41" t="n">
        <x:f>원본자료!J27</x:f>
        <x:v>7.4363701298663045</x:v>
      </x:c>
      <x:c r="H41" t="n">
        <x:f>원본자료!F41</x:f>
        <x:v>0.325</x:v>
      </x:c>
      <x:c r="I41" t="n">
        <x:f>원본자료!H41</x:f>
        <x:v>0.10562500000000001</x:v>
      </x:c>
    </x:row>
    <x:row r="42">
      <x:c r="A42" t="n">
        <x:f>원본자료!F28</x:f>
        <x:v>0.35</x:v>
      </x:c>
      <x:c r="B42" t="n">
        <x:f>원본자료!G28</x:f>
        <x:v>7.11</x:v>
      </x:c>
      <x:c r="C42" t="n">
        <x:f>원본자료!I28</x:f>
        <x:v>18.0995804195804</x:v>
      </x:c>
      <x:c r="D42" t="n">
        <x:f>원본자료!J28</x:f>
        <x:v>12.655636863133978</x:v>
      </x:c>
      <x:c r="H42" t="n">
        <x:f>원본자료!F42</x:f>
        <x:v>0.35</x:v>
      </x:c>
      <x:c r="I42" t="n">
        <x:f>원본자료!H42</x:f>
        <x:v>0.12249999999999998</x:v>
      </x:c>
    </x:row>
    <x:row r="43">
      <x:c r="A43" t="n">
        <x:f>원본자료!F29</x:f>
        <x:v>0.375</x:v>
      </x:c>
      <x:c r="B43" t="n">
        <x:f>원본자료!G29</x:f>
        <x:v>11.99</x:v>
      </x:c>
      <x:c r="C43" t="n">
        <x:f>원본자료!I29</x:f>
        <x:v>21.141269730269713</x:v>
      </x:c>
      <x:c r="D43" t="n">
        <x:f>원본자료!J29</x:f>
        <x:v>18.96369230769092</x:v>
      </x:c>
      <x:c r="H43" t="n">
        <x:f>원본자료!F43</x:f>
        <x:v>0.375</x:v>
      </x:c>
      <x:c r="I43" t="n">
        <x:f>원본자료!H43</x:f>
        <x:v>0.140625</x:v>
      </x:c>
    </x:row>
    <x:row r="44">
      <x:c r="A44" t="n">
        <x:f>원본자료!F30</x:f>
        <x:v>0.4</x:v>
      </x:c>
      <x:c r="B44" t="n">
        <x:f>원본자료!G30</x:f>
        <x:v>21.09</x:v>
      </x:c>
      <x:c r="C44" t="n">
        <x:f>원본자료!I30</x:f>
        <x:v>24.18295904095902</x:v>
      </x:c>
      <x:c r="D44" t="n">
        <x:f>원본자료!J30</x:f>
        <x:v>26.360536463537102</x:v>
      </x:c>
      <x:c r="H44" t="n">
        <x:f>원본자료!F44</x:f>
        <x:v>0.4</x:v>
      </x:c>
      <x:c r="I44" t="n">
        <x:f>원본자료!H44</x:f>
        <x:v>0.16000000000000003</x:v>
      </x:c>
    </x:row>
    <x:row r="45">
      <x:c r="A45" t="n">
        <x:f>원본자료!F31</x:f>
        <x:v>0.425</x:v>
      </x:c>
      <x:c r="B45" t="n">
        <x:f>원본자료!G31</x:f>
        <x:v>35.01</x:v>
      </x:c>
      <x:c r="C45" t="n">
        <x:f>원본자료!I31</x:f>
        <x:v>27.224648351648327</x:v>
      </x:c>
      <x:c r="D45" t="n">
        <x:f>원본자료!J31</x:f>
        <x:v>34.846169330672495</x:v>
      </x:c>
      <x:c r="H45" t="n">
        <x:f>원본자료!F45</x:f>
        <x:v>0.425</x:v>
      </x:c>
      <x:c r="I45" t="n">
        <x:f>원본자료!H45</x:f>
        <x:v>0.18062499999999998</x:v>
      </x:c>
    </x:row>
    <x:row r="46">
      <x:c r="A46" t="n">
        <x:f>원본자료!F32</x:f>
        <x:v>0.45</x:v>
      </x:c>
      <x:c r="B46" t="n">
        <x:f>원본자료!G32</x:f>
        <x:v>51.8</x:v>
      </x:c>
      <x:c r="C46" t="n">
        <x:f>원본자료!I32</x:f>
        <x:v>30.266337662337634</x:v>
      </x:c>
      <x:c r="D46" t="n">
        <x:f>원본자료!J32</x:f>
        <x:v>44.42059090909717</x:v>
      </x:c>
      <x:c r="H46" t="n">
        <x:f>원본자료!F46</x:f>
        <x:v>0.45</x:v>
      </x:c>
      <x:c r="I46" t="n">
        <x:f>원본자료!H46</x:f>
        <x:v>0.2025</x:v>
      </x:c>
    </x:row>
    <x:row r="47">
      <x:c r="A47" t="n">
        <x:f>원본자료!F33</x:f>
        <x:v>0.125</x:v>
      </x:c>
      <x:c r="B47" t="n">
        <x:f>원본자료!G33</x:f>
        <x:v>0.09</x:v>
      </x:c>
      <x:c r="C47" t="n">
        <x:f>원본자료!I33</x:f>
        <x:v>-9.275623376623363</x:v>
      </x:c>
      <x:c r="D47" t="n">
        <x:f>원본자료!J33</x:f>
        <x:v>4.878629870137585</x:v>
      </x:c>
      <x:c r="H47" t="n">
        <x:f>원본자료!F47</x:f>
        <x:v>0.125</x:v>
      </x:c>
      <x:c r="I47" t="n">
        <x:f>원본자료!H47</x:f>
        <x:v>0.015625</x:v>
      </x:c>
    </x:row>
    <x:row r="48">
      <x:c r="A48" t="n">
        <x:f>원본자료!F34</x:f>
        <x:v>0.15</x:v>
      </x:c>
      <x:c r="B48" t="n">
        <x:f>원본자료!G34</x:f>
        <x:v>0.29</x:v>
      </x:c>
      <x:c r="C48" t="n">
        <x:f>원본자료!I34</x:f>
        <x:v>-6.233934065934058</x:v>
      </x:c>
      <x:c r="D48" t="n">
        <x:f>원본자료!J34</x:f>
        <x:v>1.3875869130913223</x:v>
      </x:c>
      <x:c r="H48" t="n">
        <x:f>원본자료!F48</x:f>
        <x:v>0.15</x:v>
      </x:c>
      <x:c r="I48" t="n">
        <x:f>원본자료!H48</x:f>
        <x:v>0.0225</x:v>
      </x:c>
    </x:row>
    <x:row r="49">
      <x:c r="A49" t="n">
        <x:f>원본자료!F35</x:f>
        <x:v>0.175</x:v>
      </x:c>
      <x:c r="B49" t="n">
        <x:f>원본자료!G35</x:f>
        <x:v>0.56</x:v>
      </x:c>
      <x:c r="C49" t="n">
        <x:f>원본자료!I35</x:f>
        <x:v>-3.192244755244751</x:v>
      </x:c>
      <x:c r="D49" t="n">
        <x:f>원본자료!J35</x:f>
        <x:v>-1.0146673326656988</x:v>
      </x:c>
      <x:c r="H49" t="n">
        <x:f>원본자료!F49</x:f>
        <x:v>0.175</x:v>
      </x:c>
      <x:c r="I49" t="n">
        <x:f>원본자료!H49</x:f>
        <x:v>0.030624999999999996</x:v>
      </x:c>
    </x:row>
    <x:row r="50">
      <x:c r="A50" t="n">
        <x:f>원본자료!F36</x:f>
        <x:v>0.2</x:v>
      </x:c>
      <x:c r="B50" t="n">
        <x:f>원본자료!G36</x:f>
        <x:v>0.86</x:v>
      </x:c>
      <x:c r="C50" t="n">
        <x:f>원본자료!I36</x:f>
        <x:v>-0.15055544455544023</x:v>
      </x:c>
      <x:c r="D50" t="n">
        <x:f>원본자료!J36</x:f>
        <x:v>-2.3281328671334762</x:v>
      </x:c>
      <x:c r="H50" t="n">
        <x:f>원본자료!F50</x:f>
        <x:v>0.2</x:v>
      </x:c>
      <x:c r="I50" t="n">
        <x:f>원본자료!H50</x:f>
        <x:v>0.04000000000000001</x:v>
      </x:c>
    </x:row>
    <x:row r="51">
      <x:c r="A51" t="n">
        <x:f>원본자료!F37</x:f>
        <x:v>0.225</x:v>
      </x:c>
      <x:c r="B51" t="n">
        <x:f>원본자료!G37</x:f>
        <x:v>1.31</x:v>
      </x:c>
      <x:c r="C51" t="n">
        <x:f>원본자료!I37</x:f>
        <x:v>2.891133866133867</x:v>
      </x:c>
      <x:c r="D51" t="n">
        <x:f>원본자료!J37</x:f>
        <x:v>-2.55280969031201</x:v>
      </x:c>
      <x:c r="H51" t="n">
        <x:f>원본자료!F51</x:f>
        <x:v>0.225</x:v>
      </x:c>
      <x:c r="I51" t="n">
        <x:f>원본자료!H51</x:f>
        <x:v>0.050625</x:v>
      </x:c>
    </x:row>
    <x:row r="52">
      <x:c r="A52" t="n">
        <x:f>원본자료!F38</x:f>
        <x:v>0.25</x:v>
      </x:c>
      <x:c r="B52" t="n">
        <x:f>원본자료!G38</x:f>
        <x:v>1.99</x:v>
      </x:c>
      <x:c r="C52" t="n">
        <x:f>원본자료!I38</x:f>
        <x:v>5.932823176823174</x:v>
      </x:c>
      <x:c r="D52" t="n">
        <x:f>원본자료!J38</x:f>
        <x:v>-1.6886978022012968</x:v>
      </x:c>
      <x:c r="H52" t="n">
        <x:f>원본자료!F52</x:f>
        <x:v>0.25</x:v>
      </x:c>
      <x:c r="I52" t="n">
        <x:f>원본자료!H52</x:f>
        <x:v>0.0625</x:v>
      </x:c>
    </x:row>
    <x:row r="53">
      <x:c r="A53" t="n">
        <x:f>원본자료!F39</x:f>
        <x:v>0.275</x:v>
      </x:c>
      <x:c r="B53" t="n">
        <x:f>원본자료!G39</x:f>
        <x:v>2.94</x:v>
      </x:c>
      <x:c r="C53" t="n">
        <x:f>원본자료!I39</x:f>
        <x:v>8.974512487512484</x:v>
      </x:c>
      <x:c r="D53" t="n">
        <x:f>원본자료!J39</x:f>
        <x:v>0.2642027971986636</x:v>
      </x:c>
      <x:c r="H53" t="n">
        <x:f>원본자료!F53</x:f>
        <x:v>0.275</x:v>
      </x:c>
      <x:c r="I53" t="n">
        <x:f>원본자료!H53</x:f>
        <x:v>0.07562500000000001</x:v>
      </x:c>
    </x:row>
    <x:row r="54">
      <x:c r="A54" t="n">
        <x:f>원본자료!F40</x:f>
        <x:v>0.3</x:v>
      </x:c>
      <x:c r="B54" t="n">
        <x:f>원본자료!G40</x:f>
        <x:v>4.21</x:v>
      </x:c>
      <x:c r="C54" t="n">
        <x:f>원본자료!I40</x:f>
        <x:v>12.016201798201784</x:v>
      </x:c>
      <x:c r="D54" t="n">
        <x:f>원본자료!J40</x:f>
        <x:v>3.305892107887857</x:v>
      </x:c>
      <x:c r="H54" t="n">
        <x:f>원본자료!F54</x:f>
        <x:v>0.3</x:v>
      </x:c>
      <x:c r="I54" t="n">
        <x:f>원본자료!H54</x:f>
        <x:v>0.09</x:v>
      </x:c>
    </x:row>
    <x:row r="55">
      <x:c r="A55" t="n">
        <x:f>원본자료!F41</x:f>
        <x:v>0.325</x:v>
      </x:c>
      <x:c r="B55" t="n">
        <x:f>원본자료!G41</x:f>
        <x:v>5.54</x:v>
      </x:c>
      <x:c r="C55" t="n">
        <x:f>원본자료!I41</x:f>
        <x:v>15.057891108891098</x:v>
      </x:c>
      <x:c r="D55" t="n">
        <x:f>원본자료!J41</x:f>
        <x:v>7.4363701298663045</x:v>
      </x:c>
      <x:c r="H55" t="n">
        <x:f>원본자료!F55</x:f>
        <x:v>0.325</x:v>
      </x:c>
      <x:c r="I55" t="n">
        <x:f>원본자료!H55</x:f>
        <x:v>0.10562500000000001</x:v>
      </x:c>
    </x:row>
    <x:row r="56">
      <x:c r="A56" t="n">
        <x:f>원본자료!F42</x:f>
        <x:v>0.35</x:v>
      </x:c>
      <x:c r="B56" t="n">
        <x:f>원본자료!G42</x:f>
        <x:v>8.25</x:v>
      </x:c>
      <x:c r="C56" t="n">
        <x:f>원본자료!I42</x:f>
        <x:v>18.0995804195804</x:v>
      </x:c>
      <x:c r="D56" t="n">
        <x:f>원본자료!J42</x:f>
        <x:v>12.655636863133978</x:v>
      </x:c>
      <x:c r="H56" t="n">
        <x:f>원본자료!F56</x:f>
        <x:v>0.35</x:v>
      </x:c>
      <x:c r="I56" t="n">
        <x:f>원본자료!H56</x:f>
        <x:v>0.12249999999999998</x:v>
      </x:c>
    </x:row>
    <x:row r="57">
      <x:c r="A57" t="n">
        <x:f>원본자료!F43</x:f>
        <x:v>0.375</x:v>
      </x:c>
      <x:c r="B57" t="n">
        <x:f>원본자료!G43</x:f>
        <x:v>13.08</x:v>
      </x:c>
      <x:c r="C57" t="n">
        <x:f>원본자료!I43</x:f>
        <x:v>21.141269730269713</x:v>
      </x:c>
      <x:c r="D57" t="n">
        <x:f>원본자료!J43</x:f>
        <x:v>18.96369230769092</x:v>
      </x:c>
      <x:c r="H57" t="n">
        <x:f>원본자료!F57</x:f>
        <x:v>0.375</x:v>
      </x:c>
      <x:c r="I57" t="n">
        <x:f>원본자료!H57</x:f>
        <x:v>0.140625</x:v>
      </x:c>
    </x:row>
    <x:row r="58">
      <x:c r="A58" t="n">
        <x:f>원본자료!F44</x:f>
        <x:v>0.4</x:v>
      </x:c>
      <x:c r="B58" t="n">
        <x:f>원본자료!G44</x:f>
        <x:v>21.4</x:v>
      </x:c>
      <x:c r="C58" t="n">
        <x:f>원본자료!I44</x:f>
        <x:v>24.18295904095902</x:v>
      </x:c>
      <x:c r="D58" t="n">
        <x:f>원본자료!J44</x:f>
        <x:v>26.360536463537102</x:v>
      </x:c>
      <x:c r="H58" t="n">
        <x:f>원본자료!F58</x:f>
        <x:v>0.4</x:v>
      </x:c>
      <x:c r="I58" t="n">
        <x:f>원본자료!H58</x:f>
        <x:v>0.16000000000000003</x:v>
      </x:c>
    </x:row>
    <x:row r="59">
      <x:c r="A59" t="n">
        <x:f>원본자료!F45</x:f>
        <x:v>0.425</x:v>
      </x:c>
      <x:c r="B59" t="n">
        <x:f>원본자료!G45</x:f>
        <x:v>33.14</x:v>
      </x:c>
      <x:c r="C59" t="n">
        <x:f>원본자료!I45</x:f>
        <x:v>27.224648351648327</x:v>
      </x:c>
      <x:c r="D59" t="n">
        <x:f>원본자료!J45</x:f>
        <x:v>34.846169330672495</x:v>
      </x:c>
      <x:c r="H59" t="n">
        <x:f>원본자료!F59</x:f>
        <x:v>0.425</x:v>
      </x:c>
      <x:c r="I59" t="n">
        <x:f>원본자료!H59</x:f>
        <x:v>0.18062499999999998</x:v>
      </x:c>
    </x:row>
    <x:row r="60">
      <x:c r="A60" t="n">
        <x:f>원본자료!F46</x:f>
        <x:v>0.45</x:v>
      </x:c>
      <x:c r="B60" t="n">
        <x:f>원본자료!G46</x:f>
        <x:v>50.14</x:v>
      </x:c>
      <x:c r="C60" t="n">
        <x:f>원본자료!I46</x:f>
        <x:v>30.266337662337634</x:v>
      </x:c>
      <x:c r="D60" t="n">
        <x:f>원본자료!J46</x:f>
        <x:v>44.42059090909717</x:v>
      </x:c>
      <x:c r="H60" t="n">
        <x:f>원본자료!F60</x:f>
        <x:v>0.45</x:v>
      </x:c>
      <x:c r="I60" t="n">
        <x:f>원본자료!H60</x:f>
        <x:v>0.2025</x:v>
      </x:c>
    </x:row>
    <x:row r="61">
      <x:c r="A61" t="n">
        <x:f>원본자료!F47</x:f>
        <x:v>0.125</x:v>
      </x:c>
      <x:c r="B61" t="n">
        <x:f>원본자료!G47</x:f>
        <x:v>0.2</x:v>
      </x:c>
      <x:c r="C61" t="n">
        <x:f>원본자료!I47</x:f>
        <x:v>-9.275623376623363</x:v>
      </x:c>
      <x:c r="D61" t="n">
        <x:f>원본자료!J47</x:f>
        <x:v>4.878629870137585</x:v>
      </x:c>
      <x:c r="H61" t="n">
        <x:f>원본자료!F61</x:f>
        <x:v>0.125</x:v>
      </x:c>
      <x:c r="I61" t="n">
        <x:f>원본자료!H61</x:f>
        <x:v>0.015625</x:v>
      </x:c>
    </x:row>
    <x:row r="62">
      <x:c r="A62" t="n">
        <x:f>원본자료!F48</x:f>
        <x:v>0.15</x:v>
      </x:c>
      <x:c r="B62" t="n">
        <x:f>원본자료!G48</x:f>
        <x:v>0.35</x:v>
      </x:c>
      <x:c r="C62" t="n">
        <x:f>원본자료!I48</x:f>
        <x:v>-6.233934065934058</x:v>
      </x:c>
      <x:c r="D62" t="n">
        <x:f>원본자료!J48</x:f>
        <x:v>1.3875869130913223</x:v>
      </x:c>
      <x:c r="H62" t="n">
        <x:f>원본자료!F62</x:f>
        <x:v>0.15</x:v>
      </x:c>
      <x:c r="I62" t="n">
        <x:f>원본자료!H62</x:f>
        <x:v>0.0225</x:v>
      </x:c>
    </x:row>
    <x:row r="63">
      <x:c r="A63" t="n">
        <x:f>원본자료!F49</x:f>
        <x:v>0.175</x:v>
      </x:c>
      <x:c r="B63" t="n">
        <x:f>원본자료!G49</x:f>
        <x:v>0.65</x:v>
      </x:c>
      <x:c r="C63" t="n">
        <x:f>원본자료!I49</x:f>
        <x:v>-3.192244755244751</x:v>
      </x:c>
      <x:c r="D63" t="n">
        <x:f>원본자료!J49</x:f>
        <x:v>-1.0146673326656988</x:v>
      </x:c>
      <x:c r="H63" t="n">
        <x:f>원본자료!F63</x:f>
        <x:v>0.175</x:v>
      </x:c>
      <x:c r="I63" t="n">
        <x:f>원본자료!H63</x:f>
        <x:v>0.030624999999999996</x:v>
      </x:c>
    </x:row>
    <x:row r="64">
      <x:c r="A64" t="n">
        <x:f>원본자료!F50</x:f>
        <x:v>0.2</x:v>
      </x:c>
      <x:c r="B64" t="n">
        <x:f>원본자료!G50</x:f>
        <x:v>0.93</x:v>
      </x:c>
      <x:c r="C64" t="n">
        <x:f>원본자료!I50</x:f>
        <x:v>-0.15055544455544023</x:v>
      </x:c>
      <x:c r="D64" t="n">
        <x:f>원본자료!J50</x:f>
        <x:v>-2.3281328671334762</x:v>
      </x:c>
      <x:c r="H64" t="n">
        <x:f>원본자료!F64</x:f>
        <x:v>0.2</x:v>
      </x:c>
      <x:c r="I64" t="n">
        <x:f>원본자료!H64</x:f>
        <x:v>0.04000000000000001</x:v>
      </x:c>
    </x:row>
    <x:row r="65">
      <x:c r="A65" t="n">
        <x:f>원본자료!F51</x:f>
        <x:v>0.225</x:v>
      </x:c>
      <x:c r="B65" t="n">
        <x:f>원본자료!G51</x:f>
        <x:v>1.37</x:v>
      </x:c>
      <x:c r="C65" t="n">
        <x:f>원본자료!I51</x:f>
        <x:v>2.891133866133867</x:v>
      </x:c>
      <x:c r="D65" t="n">
        <x:f>원본자료!J51</x:f>
        <x:v>-2.55280969031201</x:v>
      </x:c>
      <x:c r="H65" t="n">
        <x:f>원본자료!F65</x:f>
        <x:v>0.225</x:v>
      </x:c>
      <x:c r="I65" t="n">
        <x:f>원본자료!H65</x:f>
        <x:v>0.050625</x:v>
      </x:c>
    </x:row>
    <x:row r="66">
      <x:c r="A66" t="n">
        <x:f>원본자료!F52</x:f>
        <x:v>0.25</x:v>
      </x:c>
      <x:c r="B66" t="n">
        <x:f>원본자료!G52</x:f>
        <x:v>1.97</x:v>
      </x:c>
      <x:c r="C66" t="n">
        <x:f>원본자료!I52</x:f>
        <x:v>5.932823176823174</x:v>
      </x:c>
      <x:c r="D66" t="n">
        <x:f>원본자료!J52</x:f>
        <x:v>-1.6886978022012968</x:v>
      </x:c>
      <x:c r="H66" t="n">
        <x:f>원본자료!F66</x:f>
        <x:v>0.25</x:v>
      </x:c>
      <x:c r="I66" t="n">
        <x:f>원본자료!H66</x:f>
        <x:v>0.0625</x:v>
      </x:c>
    </x:row>
    <x:row r="67">
      <x:c r="A67" t="n">
        <x:f>원본자료!F53</x:f>
        <x:v>0.275</x:v>
      </x:c>
      <x:c r="B67" t="n">
        <x:f>원본자료!G53</x:f>
        <x:v>2.83</x:v>
      </x:c>
      <x:c r="C67" t="n">
        <x:f>원본자료!I53</x:f>
        <x:v>8.974512487512484</x:v>
      </x:c>
      <x:c r="D67" t="n">
        <x:f>원본자료!J53</x:f>
        <x:v>0.2642027971986636</x:v>
      </x:c>
      <x:c r="H67" t="n">
        <x:f>원본자료!F67</x:f>
        <x:v>0.275</x:v>
      </x:c>
      <x:c r="I67" t="n">
        <x:f>원본자료!H67</x:f>
        <x:v>0.07562500000000001</x:v>
      </x:c>
    </x:row>
    <x:row r="68">
      <x:c r="A68" t="n">
        <x:f>원본자료!F54</x:f>
        <x:v>0.3</x:v>
      </x:c>
      <x:c r="B68" t="n">
        <x:f>원본자료!G54</x:f>
        <x:v>3.99</x:v>
      </x:c>
      <x:c r="C68" t="n">
        <x:f>원본자료!I54</x:f>
        <x:v>12.016201798201784</x:v>
      </x:c>
      <x:c r="D68" t="n">
        <x:f>원본자료!J54</x:f>
        <x:v>3.305892107887857</x:v>
      </x:c>
      <x:c r="H68" t="n">
        <x:f>원본자료!F68</x:f>
        <x:v>0.3</x:v>
      </x:c>
      <x:c r="I68" t="n">
        <x:f>원본자료!H68</x:f>
        <x:v>0.09</x:v>
      </x:c>
    </x:row>
    <x:row r="69">
      <x:c r="A69" t="n">
        <x:f>원본자료!F55</x:f>
        <x:v>0.325</x:v>
      </x:c>
      <x:c r="B69" t="n">
        <x:f>원본자료!G55</x:f>
        <x:v>5.19</x:v>
      </x:c>
      <x:c r="C69" t="n">
        <x:f>원본자료!I55</x:f>
        <x:v>15.057891108891098</x:v>
      </x:c>
      <x:c r="D69" t="n">
        <x:f>원본자료!J55</x:f>
        <x:v>7.4363701298663045</x:v>
      </x:c>
      <x:c r="H69" t="n">
        <x:f>원본자료!F69</x:f>
        <x:v>0.325</x:v>
      </x:c>
      <x:c r="I69" t="n">
        <x:f>원본자료!H69</x:f>
        <x:v>0.10562500000000001</x:v>
      </x:c>
    </x:row>
    <x:row r="70">
      <x:c r="A70" t="n">
        <x:f>원본자료!F56</x:f>
        <x:v>0.35</x:v>
      </x:c>
      <x:c r="B70" t="n">
        <x:f>원본자료!G56</x:f>
        <x:v>8.03</x:v>
      </x:c>
      <x:c r="C70" t="n">
        <x:f>원본자료!I56</x:f>
        <x:v>18.0995804195804</x:v>
      </x:c>
      <x:c r="D70" t="n">
        <x:f>원본자료!J56</x:f>
        <x:v>12.655636863133978</x:v>
      </x:c>
      <x:c r="H70" t="n">
        <x:f>원본자료!F70</x:f>
        <x:v>0.35</x:v>
      </x:c>
      <x:c r="I70" t="n">
        <x:f>원본자료!H70</x:f>
        <x:v>0.12249999999999998</x:v>
      </x:c>
    </x:row>
    <x:row r="71">
      <x:c r="A71" t="n">
        <x:f>원본자료!F57</x:f>
        <x:v>0.375</x:v>
      </x:c>
      <x:c r="B71" t="n">
        <x:f>원본자료!G57</x:f>
        <x:v>12.86</x:v>
      </x:c>
      <x:c r="C71" t="n">
        <x:f>원본자료!I57</x:f>
        <x:v>21.141269730269713</x:v>
      </x:c>
      <x:c r="D71" t="n">
        <x:f>원본자료!J57</x:f>
        <x:v>18.96369230769092</x:v>
      </x:c>
      <x:c r="H71" t="n">
        <x:f>원본자료!F71</x:f>
        <x:v>0.375</x:v>
      </x:c>
      <x:c r="I71" t="n">
        <x:f>원본자료!H71</x:f>
        <x:v>0.140625</x:v>
      </x:c>
    </x:row>
    <x:row r="72">
      <x:c r="A72" t="n">
        <x:f>원본자료!F58</x:f>
        <x:v>0.4</x:v>
      </x:c>
      <x:c r="B72" t="n">
        <x:f>원본자료!G58</x:f>
        <x:v>21.51</x:v>
      </x:c>
      <x:c r="C72" t="n">
        <x:f>원본자료!I58</x:f>
        <x:v>24.18295904095902</x:v>
      </x:c>
      <x:c r="D72" t="n">
        <x:f>원본자료!J58</x:f>
        <x:v>26.360536463537102</x:v>
      </x:c>
      <x:c r="H72" t="n">
        <x:f>원본자료!F72</x:f>
        <x:v>0.4</x:v>
      </x:c>
      <x:c r="I72" t="n">
        <x:f>원본자료!H72</x:f>
        <x:v>0.16000000000000003</x:v>
      </x:c>
    </x:row>
    <x:row r="73">
      <x:c r="A73" t="n">
        <x:f>원본자료!F59</x:f>
        <x:v>0.425</x:v>
      </x:c>
      <x:c r="B73" t="n">
        <x:f>원본자료!G59</x:f>
        <x:v>33.97</x:v>
      </x:c>
      <x:c r="C73" t="n">
        <x:f>원본자료!I59</x:f>
        <x:v>27.224648351648327</x:v>
      </x:c>
      <x:c r="D73" t="n">
        <x:f>원본자료!J59</x:f>
        <x:v>34.846169330672495</x:v>
      </x:c>
      <x:c r="H73" t="n">
        <x:f>원본자료!F73</x:f>
        <x:v>0.425</x:v>
      </x:c>
      <x:c r="I73" t="n">
        <x:f>원본자료!H73</x:f>
        <x:v>0.18062499999999998</x:v>
      </x:c>
    </x:row>
    <x:row r="74">
      <x:c r="A74" t="n">
        <x:f>원본자료!F60</x:f>
        <x:v>0.45</x:v>
      </x:c>
      <x:c r="B74" t="n">
        <x:f>원본자료!G60</x:f>
        <x:v>50.36</x:v>
      </x:c>
      <x:c r="C74" t="n">
        <x:f>원본자료!I60</x:f>
        <x:v>30.266337662337634</x:v>
      </x:c>
      <x:c r="D74" t="n">
        <x:f>원본자료!J60</x:f>
        <x:v>44.42059090909717</x:v>
      </x:c>
      <x:c r="H74" t="n">
        <x:f>원본자료!F74</x:f>
        <x:v>0.45</x:v>
      </x:c>
      <x:c r="I74" t="n">
        <x:f>원본자료!H74</x:f>
        <x:v>0.2025</x:v>
      </x:c>
    </x:row>
    <x:row r="75">
      <x:c r="A75" t="n">
        <x:f>원본자료!F61</x:f>
        <x:v>0.125</x:v>
      </x:c>
      <x:c r="B75" t="n">
        <x:f>원본자료!G61</x:f>
        <x:v>0.2</x:v>
      </x:c>
      <x:c r="C75" t="n">
        <x:f>원본자료!I61</x:f>
        <x:v>-9.275623376623363</x:v>
      </x:c>
      <x:c r="D75" t="n">
        <x:f>원본자료!J61</x:f>
        <x:v>4.878629870137585</x:v>
      </x:c>
      <x:c r="H75" t="n">
        <x:f>원본자료!F75</x:f>
        <x:v>0.125</x:v>
      </x:c>
      <x:c r="I75" t="n">
        <x:f>원본자료!H75</x:f>
        <x:v>0.015625</x:v>
      </x:c>
    </x:row>
    <x:row r="76">
      <x:c r="A76" t="n">
        <x:f>원본자료!F62</x:f>
        <x:v>0.15</x:v>
      </x:c>
      <x:c r="B76" t="n">
        <x:f>원본자료!G62</x:f>
        <x:v>0.35</x:v>
      </x:c>
      <x:c r="C76" t="n">
        <x:f>원본자료!I62</x:f>
        <x:v>-6.233934065934058</x:v>
      </x:c>
      <x:c r="D76" t="n">
        <x:f>원본자료!J62</x:f>
        <x:v>1.3875869130913223</x:v>
      </x:c>
      <x:c r="H76" t="n">
        <x:f>원본자료!F76</x:f>
        <x:v>0.15</x:v>
      </x:c>
      <x:c r="I76" t="n">
        <x:f>원본자료!H76</x:f>
        <x:v>0.0225</x:v>
      </x:c>
    </x:row>
    <x:row r="77">
      <x:c r="A77" t="n">
        <x:f>원본자료!F63</x:f>
        <x:v>0.175</x:v>
      </x:c>
      <x:c r="B77" t="n">
        <x:f>원본자료!G63</x:f>
        <x:v>0.65</x:v>
      </x:c>
      <x:c r="C77" t="n">
        <x:f>원본자료!I63</x:f>
        <x:v>-3.192244755244751</x:v>
      </x:c>
      <x:c r="D77" t="n">
        <x:f>원본자료!J63</x:f>
        <x:v>-1.0146673326656988</x:v>
      </x:c>
      <x:c r="H77" t="n">
        <x:f>원본자료!F77</x:f>
        <x:v>0.175</x:v>
      </x:c>
      <x:c r="I77" t="n">
        <x:f>원본자료!H77</x:f>
        <x:v>0.030624999999999996</x:v>
      </x:c>
    </x:row>
    <x:row r="78">
      <x:c r="A78" t="n">
        <x:f>원본자료!F64</x:f>
        <x:v>0.2</x:v>
      </x:c>
      <x:c r="B78" t="n">
        <x:f>원본자료!G64</x:f>
        <x:v>0.93</x:v>
      </x:c>
      <x:c r="C78" t="n">
        <x:f>원본자료!I64</x:f>
        <x:v>-0.15055544455544023</x:v>
      </x:c>
      <x:c r="D78" t="n">
        <x:f>원본자료!J64</x:f>
        <x:v>-2.3281328671334762</x:v>
      </x:c>
      <x:c r="H78" t="n">
        <x:f>원본자료!F78</x:f>
        <x:v>0.2</x:v>
      </x:c>
      <x:c r="I78" t="n">
        <x:f>원본자료!H78</x:f>
        <x:v>0.04000000000000001</x:v>
      </x:c>
    </x:row>
    <x:row r="79">
      <x:c r="A79" t="n">
        <x:f>원본자료!F65</x:f>
        <x:v>0.225</x:v>
      </x:c>
      <x:c r="B79" t="n">
        <x:f>원본자료!G65</x:f>
        <x:v>1.37</x:v>
      </x:c>
      <x:c r="C79" t="n">
        <x:f>원본자료!I65</x:f>
        <x:v>2.891133866133867</x:v>
      </x:c>
      <x:c r="D79" t="n">
        <x:f>원본자료!J65</x:f>
        <x:v>-2.55280969031201</x:v>
      </x:c>
      <x:c r="H79" t="n">
        <x:f>원본자료!F79</x:f>
        <x:v>0.225</x:v>
      </x:c>
      <x:c r="I79" t="n">
        <x:f>원본자료!H79</x:f>
        <x:v>0.050625</x:v>
      </x:c>
    </x:row>
    <x:row r="80">
      <x:c r="A80" t="n">
        <x:f>원본자료!F66</x:f>
        <x:v>0.25</x:v>
      </x:c>
      <x:c r="B80" t="n">
        <x:f>원본자료!G66</x:f>
        <x:v>1.97</x:v>
      </x:c>
      <x:c r="C80" t="n">
        <x:f>원본자료!I66</x:f>
        <x:v>5.932823176823174</x:v>
      </x:c>
      <x:c r="D80" t="n">
        <x:f>원본자료!J66</x:f>
        <x:v>-1.6886978022012968</x:v>
      </x:c>
      <x:c r="H80" t="n">
        <x:f>원본자료!F80</x:f>
        <x:v>0.25</x:v>
      </x:c>
      <x:c r="I80" t="n">
        <x:f>원본자료!H80</x:f>
        <x:v>0.0625</x:v>
      </x:c>
    </x:row>
    <x:row r="81">
      <x:c r="A81" t="n">
        <x:f>원본자료!F67</x:f>
        <x:v>0.275</x:v>
      </x:c>
      <x:c r="B81" t="n">
        <x:f>원본자료!G67</x:f>
        <x:v>2.83</x:v>
      </x:c>
      <x:c r="C81" t="n">
        <x:f>원본자료!I67</x:f>
        <x:v>8.974512487512484</x:v>
      </x:c>
      <x:c r="D81" t="n">
        <x:f>원본자료!J67</x:f>
        <x:v>0.2642027971986636</x:v>
      </x:c>
      <x:c r="H81" t="n">
        <x:f>원본자료!F81</x:f>
        <x:v>0.275</x:v>
      </x:c>
      <x:c r="I81" t="n">
        <x:f>원본자료!H81</x:f>
        <x:v>0.07562500000000001</x:v>
      </x:c>
    </x:row>
    <x:row r="82">
      <x:c r="A82" t="n">
        <x:f>원본자료!F68</x:f>
        <x:v>0.3</x:v>
      </x:c>
      <x:c r="B82" t="n">
        <x:f>원본자료!G68</x:f>
        <x:v>3.99</x:v>
      </x:c>
      <x:c r="C82" t="n">
        <x:f>원본자료!I68</x:f>
        <x:v>12.016201798201784</x:v>
      </x:c>
      <x:c r="D82" t="n">
        <x:f>원본자료!J68</x:f>
        <x:v>3.305892107887857</x:v>
      </x:c>
      <x:c r="H82" t="n">
        <x:f>원본자료!F82</x:f>
        <x:v>0.3</x:v>
      </x:c>
      <x:c r="I82" t="n">
        <x:f>원본자료!H82</x:f>
        <x:v>0.09</x:v>
      </x:c>
    </x:row>
    <x:row r="83">
      <x:c r="A83" t="n">
        <x:f>원본자료!F69</x:f>
        <x:v>0.325</x:v>
      </x:c>
      <x:c r="B83" t="n">
        <x:f>원본자료!G69</x:f>
        <x:v>5.19</x:v>
      </x:c>
      <x:c r="C83" t="n">
        <x:f>원본자료!I69</x:f>
        <x:v>15.057891108891098</x:v>
      </x:c>
      <x:c r="D83" t="n">
        <x:f>원본자료!J69</x:f>
        <x:v>7.4363701298663045</x:v>
      </x:c>
      <x:c r="H83" t="n">
        <x:f>원본자료!F83</x:f>
        <x:v>0.325</x:v>
      </x:c>
      <x:c r="I83" t="n">
        <x:f>원본자료!H83</x:f>
        <x:v>0.10562500000000001</x:v>
      </x:c>
    </x:row>
    <x:row r="84">
      <x:c r="A84" t="n">
        <x:f>원본자료!F70</x:f>
        <x:v>0.35</x:v>
      </x:c>
      <x:c r="B84" t="n">
        <x:f>원본자료!G70</x:f>
        <x:v>8.03</x:v>
      </x:c>
      <x:c r="C84" t="n">
        <x:f>원본자료!I70</x:f>
        <x:v>18.0995804195804</x:v>
      </x:c>
      <x:c r="D84" t="n">
        <x:f>원본자료!J70</x:f>
        <x:v>12.655636863133978</x:v>
      </x:c>
      <x:c r="H84" t="n">
        <x:f>원본자료!F84</x:f>
        <x:v>0.35</x:v>
      </x:c>
      <x:c r="I84" t="n">
        <x:f>원본자료!H84</x:f>
        <x:v>0.12249999999999998</x:v>
      </x:c>
    </x:row>
    <x:row r="85">
      <x:c r="A85" t="n">
        <x:f>원본자료!F71</x:f>
        <x:v>0.375</x:v>
      </x:c>
      <x:c r="B85" t="n">
        <x:f>원본자료!G71</x:f>
        <x:v>12.86</x:v>
      </x:c>
      <x:c r="C85" t="n">
        <x:f>원본자료!I71</x:f>
        <x:v>21.141269730269713</x:v>
      </x:c>
      <x:c r="D85" t="n">
        <x:f>원본자료!J71</x:f>
        <x:v>18.96369230769092</x:v>
      </x:c>
      <x:c r="H85" t="n">
        <x:f>원본자료!F85</x:f>
        <x:v>0.375</x:v>
      </x:c>
      <x:c r="I85" t="n">
        <x:f>원본자료!H85</x:f>
        <x:v>0.140625</x:v>
      </x:c>
    </x:row>
    <x:row r="86">
      <x:c r="A86" t="n">
        <x:f>원본자료!F72</x:f>
        <x:v>0.4</x:v>
      </x:c>
      <x:c r="B86" t="n">
        <x:f>원본자료!G72</x:f>
        <x:v>21.51</x:v>
      </x:c>
      <x:c r="C86" t="n">
        <x:f>원본자료!I72</x:f>
        <x:v>24.18295904095902</x:v>
      </x:c>
      <x:c r="D86" t="n">
        <x:f>원본자료!J72</x:f>
        <x:v>26.360536463537102</x:v>
      </x:c>
      <x:c r="H86" t="n">
        <x:f>원본자료!F86</x:f>
        <x:v>0.4</x:v>
      </x:c>
      <x:c r="I86" t="n">
        <x:f>원본자료!H86</x:f>
        <x:v>0.16000000000000003</x:v>
      </x:c>
    </x:row>
    <x:row r="87">
      <x:c r="A87" t="n">
        <x:f>원본자료!F73</x:f>
        <x:v>0.425</x:v>
      </x:c>
      <x:c r="B87" t="n">
        <x:f>원본자료!G73</x:f>
        <x:v>33.97</x:v>
      </x:c>
      <x:c r="C87" t="n">
        <x:f>원본자료!I73</x:f>
        <x:v>27.224648351648327</x:v>
      </x:c>
      <x:c r="D87" t="n">
        <x:f>원본자료!J73</x:f>
        <x:v>34.846169330672495</x:v>
      </x:c>
      <x:c r="H87" t="n">
        <x:f>원본자료!F87</x:f>
        <x:v>0.425</x:v>
      </x:c>
      <x:c r="I87" t="n">
        <x:f>원본자료!H87</x:f>
        <x:v>0.18062499999999998</x:v>
      </x:c>
    </x:row>
    <x:row r="88">
      <x:c r="A88" t="n">
        <x:f>원본자료!F74</x:f>
        <x:v>0.45</x:v>
      </x:c>
      <x:c r="B88" t="n">
        <x:f>원본자료!G74</x:f>
        <x:v>50.36</x:v>
      </x:c>
      <x:c r="C88" t="n">
        <x:f>원본자료!I74</x:f>
        <x:v>30.266337662337634</x:v>
      </x:c>
      <x:c r="D88" t="n">
        <x:f>원본자료!J74</x:f>
        <x:v>44.42059090909717</x:v>
      </x:c>
      <x:c r="H88" t="n">
        <x:f>원본자료!F88</x:f>
        <x:v>0.45</x:v>
      </x:c>
      <x:c r="I88" t="n">
        <x:f>원본자료!H88</x:f>
        <x:v>0.2025</x:v>
      </x:c>
    </x:row>
    <x:row r="89">
      <x:c r="A89" t="n">
        <x:f>원본자료!F75</x:f>
        <x:v>0.125</x:v>
      </x:c>
      <x:c r="B89" t="n">
        <x:f>원본자료!G75</x:f>
        <x:v>0.12</x:v>
      </x:c>
      <x:c r="C89" t="n">
        <x:f>원본자료!I75</x:f>
        <x:v>-9.275623376623363</x:v>
      </x:c>
      <x:c r="D89" t="n">
        <x:f>원본자료!J75</x:f>
        <x:v>4.878629870137585</x:v>
      </x:c>
      <x:c r="H89" t="n">
        <x:f>원본자료!F89</x:f>
        <x:v>0.125</x:v>
      </x:c>
      <x:c r="I89" t="n">
        <x:f>원본자료!H89</x:f>
        <x:v>0.015625</x:v>
      </x:c>
    </x:row>
    <x:row r="90">
      <x:c r="A90" t="n">
        <x:f>원본자료!F76</x:f>
        <x:v>0.15</x:v>
      </x:c>
      <x:c r="B90" t="n">
        <x:f>원본자료!G76</x:f>
        <x:v>0.26</x:v>
      </x:c>
      <x:c r="C90" t="n">
        <x:f>원본자료!I76</x:f>
        <x:v>-6.233934065934058</x:v>
      </x:c>
      <x:c r="D90" t="n">
        <x:f>원본자료!J76</x:f>
        <x:v>1.3875869130913223</x:v>
      </x:c>
      <x:c r="H90" t="n">
        <x:f>원본자료!F90</x:f>
        <x:v>0.15</x:v>
      </x:c>
      <x:c r="I90" t="n">
        <x:f>원본자료!H90</x:f>
        <x:v>0.0225</x:v>
      </x:c>
    </x:row>
    <x:row r="91">
      <x:c r="A91" t="n">
        <x:f>원본자료!F77</x:f>
        <x:v>0.175</x:v>
      </x:c>
      <x:c r="B91" t="n">
        <x:f>원본자료!G77</x:f>
        <x:v>0.43</x:v>
      </x:c>
      <x:c r="C91" t="n">
        <x:f>원본자료!I77</x:f>
        <x:v>-3.192244755244751</x:v>
      </x:c>
      <x:c r="D91" t="n">
        <x:f>원본자료!J77</x:f>
        <x:v>-1.0146673326656988</x:v>
      </x:c>
      <x:c r="H91" t="n">
        <x:f>원본자료!F91</x:f>
        <x:v>0.175</x:v>
      </x:c>
      <x:c r="I91" t="n">
        <x:f>원본자료!H91</x:f>
        <x:v>0.030624999999999996</x:v>
      </x:c>
    </x:row>
    <x:row r="92">
      <x:c r="A92" t="n">
        <x:f>원본자료!F78</x:f>
        <x:v>0.2</x:v>
      </x:c>
      <x:c r="B92" t="n">
        <x:f>원본자료!G78</x:f>
        <x:v>0.69</x:v>
      </x:c>
      <x:c r="C92" t="n">
        <x:f>원본자료!I78</x:f>
        <x:v>-0.15055544455544023</x:v>
      </x:c>
      <x:c r="D92" t="n">
        <x:f>원본자료!J78</x:f>
        <x:v>-2.3281328671334762</x:v>
      </x:c>
      <x:c r="H92" t="n">
        <x:f>원본자료!F92</x:f>
        <x:v>0.2</x:v>
      </x:c>
      <x:c r="I92" t="n">
        <x:f>원본자료!H92</x:f>
        <x:v>0.04000000000000001</x:v>
      </x:c>
    </x:row>
    <x:row r="93">
      <x:c r="A93" t="n">
        <x:f>원본자료!F79</x:f>
        <x:v>0.225</x:v>
      </x:c>
      <x:c r="B93" t="n">
        <x:f>원본자료!G79</x:f>
        <x:v>1.09</x:v>
      </x:c>
      <x:c r="C93" t="n">
        <x:f>원본자료!I79</x:f>
        <x:v>2.891133866133867</x:v>
      </x:c>
      <x:c r="D93" t="n">
        <x:f>원본자료!J79</x:f>
        <x:v>-2.55280969031201</x:v>
      </x:c>
      <x:c r="H93" t="n">
        <x:f>원본자료!F93</x:f>
        <x:v>0.225</x:v>
      </x:c>
      <x:c r="I93" t="n">
        <x:f>원본자료!H93</x:f>
        <x:v>0.050625</x:v>
      </x:c>
    </x:row>
    <x:row r="94">
      <x:c r="A94" t="n">
        <x:f>원본자료!F80</x:f>
        <x:v>0.25</x:v>
      </x:c>
      <x:c r="B94" t="n">
        <x:f>원본자료!G80</x:f>
        <x:v>1.67</x:v>
      </x:c>
      <x:c r="C94" t="n">
        <x:f>원본자료!I80</x:f>
        <x:v>5.932823176823174</x:v>
      </x:c>
      <x:c r="D94" t="n">
        <x:f>원본자료!J80</x:f>
        <x:v>-1.6886978022012968</x:v>
      </x:c>
      <x:c r="H94" t="n">
        <x:f>원본자료!F94</x:f>
        <x:v>0.25</x:v>
      </x:c>
      <x:c r="I94" t="n">
        <x:f>원본자료!H94</x:f>
        <x:v>0.0625</x:v>
      </x:c>
    </x:row>
    <x:row r="95">
      <x:c r="A95" t="n">
        <x:f>원본자료!F81</x:f>
        <x:v>0.275</x:v>
      </x:c>
      <x:c r="B95" t="n">
        <x:f>원본자료!G81</x:f>
        <x:v>2.46</x:v>
      </x:c>
      <x:c r="C95" t="n">
        <x:f>원본자료!I81</x:f>
        <x:v>8.974512487512484</x:v>
      </x:c>
      <x:c r="D95" t="n">
        <x:f>원본자료!J81</x:f>
        <x:v>0.2642027971986636</x:v>
      </x:c>
      <x:c r="H95" t="n">
        <x:f>원본자료!F95</x:f>
        <x:v>0.275</x:v>
      </x:c>
      <x:c r="I95" t="n">
        <x:f>원본자료!H95</x:f>
        <x:v>0.07562500000000001</x:v>
      </x:c>
    </x:row>
    <x:row r="96">
      <x:c r="A96" t="n">
        <x:f>원본자료!F82</x:f>
        <x:v>0.3</x:v>
      </x:c>
      <x:c r="B96" t="n">
        <x:f>원본자료!G82</x:f>
        <x:v>3.43</x:v>
      </x:c>
      <x:c r="C96" t="n">
        <x:f>원본자료!I82</x:f>
        <x:v>12.016201798201784</x:v>
      </x:c>
      <x:c r="D96" t="n">
        <x:f>원본자료!J82</x:f>
        <x:v>3.305892107887857</x:v>
      </x:c>
      <x:c r="H96" t="n">
        <x:f>원본자료!F96</x:f>
        <x:v>0.3</x:v>
      </x:c>
      <x:c r="I96" t="n">
        <x:f>원본자료!H96</x:f>
        <x:v>0.09</x:v>
      </x:c>
    </x:row>
    <x:row r="97">
      <x:c r="A97" t="n">
        <x:f>원본자료!F83</x:f>
        <x:v>0.325</x:v>
      </x:c>
      <x:c r="B97" t="n">
        <x:f>원본자료!G83</x:f>
        <x:v>4.62</x:v>
      </x:c>
      <x:c r="C97" t="n">
        <x:f>원본자료!I83</x:f>
        <x:v>15.057891108891098</x:v>
      </x:c>
      <x:c r="D97" t="n">
        <x:f>원본자료!J83</x:f>
        <x:v>7.4363701298663045</x:v>
      </x:c>
      <x:c r="H97" t="n">
        <x:f>원본자료!F97</x:f>
        <x:v>0.325</x:v>
      </x:c>
      <x:c r="I97" t="n">
        <x:f>원본자료!H97</x:f>
        <x:v>0.10562500000000001</x:v>
      </x:c>
    </x:row>
    <x:row r="98">
      <x:c r="A98" t="n">
        <x:f>원본자료!F84</x:f>
        <x:v>0.35</x:v>
      </x:c>
      <x:c r="B98" t="n">
        <x:f>원본자료!G84</x:f>
        <x:v>6.86</x:v>
      </x:c>
      <x:c r="C98" t="n">
        <x:f>원본자료!I84</x:f>
        <x:v>18.0995804195804</x:v>
      </x:c>
      <x:c r="D98" t="n">
        <x:f>원본자료!J84</x:f>
        <x:v>12.655636863133978</x:v>
      </x:c>
      <x:c r="H98" t="n">
        <x:f>원본자료!F98</x:f>
        <x:v>0.35</x:v>
      </x:c>
      <x:c r="I98" t="n">
        <x:f>원본자료!H98</x:f>
        <x:v>0.12249999999999998</x:v>
      </x:c>
    </x:row>
    <x:row r="99">
      <x:c r="A99" t="n">
        <x:f>원본자료!F85</x:f>
        <x:v>0.375</x:v>
      </x:c>
      <x:c r="B99" t="n">
        <x:f>원본자료!G85</x:f>
        <x:v>11.56</x:v>
      </x:c>
      <x:c r="C99" t="n">
        <x:f>원본자료!I85</x:f>
        <x:v>21.141269730269713</x:v>
      </x:c>
      <x:c r="D99" t="n">
        <x:f>원본자료!J85</x:f>
        <x:v>18.96369230769092</x:v>
      </x:c>
      <x:c r="H99" t="n">
        <x:f>원본자료!F99</x:f>
        <x:v>0.375</x:v>
      </x:c>
      <x:c r="I99" t="n">
        <x:f>원본자료!H99</x:f>
        <x:v>0.140625</x:v>
      </x:c>
    </x:row>
    <x:row r="100">
      <x:c r="A100" t="n">
        <x:f>원본자료!F86</x:f>
        <x:v>0.4</x:v>
      </x:c>
      <x:c r="B100" t="n">
        <x:f>원본자료!G86</x:f>
        <x:v>20.63</x:v>
      </x:c>
      <x:c r="C100" t="n">
        <x:f>원본자료!I86</x:f>
        <x:v>24.18295904095902</x:v>
      </x:c>
      <x:c r="D100" t="n">
        <x:f>원본자료!J86</x:f>
        <x:v>26.360536463537102</x:v>
      </x:c>
      <x:c r="H100" t="n">
        <x:f>원본자료!F100</x:f>
        <x:v>0.4</x:v>
      </x:c>
      <x:c r="I100" t="n">
        <x:f>원본자료!H100</x:f>
        <x:v>0.16000000000000003</x:v>
      </x:c>
    </x:row>
    <x:row r="101">
      <x:c r="A101" t="n">
        <x:f>원본자료!F87</x:f>
        <x:v>0.425</x:v>
      </x:c>
      <x:c r="B101" t="n">
        <x:f>원본자료!G87</x:f>
        <x:v>34.5</x:v>
      </x:c>
      <x:c r="C101" t="n">
        <x:f>원본자료!I87</x:f>
        <x:v>27.224648351648327</x:v>
      </x:c>
      <x:c r="D101" t="n">
        <x:f>원본자료!J87</x:f>
        <x:v>34.846169330672495</x:v>
      </x:c>
      <x:c r="H101" t="n">
        <x:f>원본자료!F101</x:f>
        <x:v>0.425</x:v>
      </x:c>
      <x:c r="I101" t="n">
        <x:f>원본자료!H101</x:f>
        <x:v>0.18062499999999998</x:v>
      </x:c>
    </x:row>
    <x:row r="102">
      <x:c r="A102" t="n">
        <x:f>원본자료!F88</x:f>
        <x:v>0.45</x:v>
      </x:c>
      <x:c r="B102" t="n">
        <x:f>원본자료!G88</x:f>
        <x:v>54.23</x:v>
      </x:c>
      <x:c r="C102" t="n">
        <x:f>원본자료!I88</x:f>
        <x:v>30.266337662337634</x:v>
      </x:c>
      <x:c r="D102" t="n">
        <x:f>원본자료!J88</x:f>
        <x:v>44.42059090909717</x:v>
      </x:c>
      <x:c r="H102" t="n">
        <x:f>원본자료!F102</x:f>
        <x:v>0.45</x:v>
      </x:c>
      <x:c r="I102" t="n">
        <x:f>원본자료!H102</x:f>
        <x:v>0.2025</x:v>
      </x:c>
    </x:row>
    <x:row r="103">
      <x:c r="A103" t="n">
        <x:f>원본자료!F89</x:f>
        <x:v>0.125</x:v>
      </x:c>
      <x:c r="B103" t="n">
        <x:f>원본자료!G89</x:f>
        <x:v>0.28</x:v>
      </x:c>
      <x:c r="C103" t="n">
        <x:f>원본자료!I89</x:f>
        <x:v>-9.275623376623363</x:v>
      </x:c>
      <x:c r="D103" t="n">
        <x:f>원본자료!J89</x:f>
        <x:v>4.878629870137585</x:v>
      </x:c>
      <x:c r="H103" t="n">
        <x:f>원본자료!F103</x:f>
        <x:v>0.125</x:v>
      </x:c>
      <x:c r="I103" t="n">
        <x:f>원본자료!H103</x:f>
        <x:v>0.015625</x:v>
      </x:c>
    </x:row>
    <x:row r="104">
      <x:c r="A104" t="n">
        <x:f>원본자료!F90</x:f>
        <x:v>0.15</x:v>
      </x:c>
      <x:c r="B104" t="n">
        <x:f>원본자료!G90</x:f>
        <x:v>0.44</x:v>
      </x:c>
      <x:c r="C104" t="n">
        <x:f>원본자료!I90</x:f>
        <x:v>-6.233934065934058</x:v>
      </x:c>
      <x:c r="D104" t="n">
        <x:f>원본자료!J90</x:f>
        <x:v>1.3875869130913223</x:v>
      </x:c>
      <x:c r="H104" t="n">
        <x:f>원본자료!F104</x:f>
        <x:v>0.15</x:v>
      </x:c>
      <x:c r="I104" t="n">
        <x:f>원본자료!H104</x:f>
        <x:v>0.0225</x:v>
      </x:c>
    </x:row>
    <x:row r="105">
      <x:c r="A105" t="n">
        <x:f>원본자료!F91</x:f>
        <x:v>0.175</x:v>
      </x:c>
      <x:c r="B105" t="n">
        <x:f>원본자료!G91</x:f>
        <x:v>0.7</x:v>
      </x:c>
      <x:c r="C105" t="n">
        <x:f>원본자료!I91</x:f>
        <x:v>-3.192244755244751</x:v>
      </x:c>
      <x:c r="D105" t="n">
        <x:f>원본자료!J91</x:f>
        <x:v>-1.0146673326656988</x:v>
      </x:c>
      <x:c r="H105" t="n">
        <x:f>원본자료!F105</x:f>
        <x:v>0.175</x:v>
      </x:c>
      <x:c r="I105" t="n">
        <x:f>원본자료!H105</x:f>
        <x:v>0.030624999999999996</x:v>
      </x:c>
    </x:row>
    <x:row r="106">
      <x:c r="A106" t="n">
        <x:f>원본자료!F92</x:f>
        <x:v>0.2</x:v>
      </x:c>
      <x:c r="B106" t="n">
        <x:f>원본자료!G92</x:f>
        <x:v>1.07</x:v>
      </x:c>
      <x:c r="C106" t="n">
        <x:f>원본자료!I92</x:f>
        <x:v>-0.15055544455544023</x:v>
      </x:c>
      <x:c r="D106" t="n">
        <x:f>원본자료!J92</x:f>
        <x:v>-2.3281328671334762</x:v>
      </x:c>
      <x:c r="H106" t="n">
        <x:f>원본자료!F106</x:f>
        <x:v>0.2</x:v>
      </x:c>
      <x:c r="I106" t="n">
        <x:f>원본자료!H106</x:f>
        <x:v>0.04000000000000001</x:v>
      </x:c>
    </x:row>
    <x:row r="107">
      <x:c r="A107" t="n">
        <x:f>원본자료!F93</x:f>
        <x:v>0.225</x:v>
      </x:c>
      <x:c r="B107" t="n">
        <x:f>원본자료!G93</x:f>
        <x:v>1.57</x:v>
      </x:c>
      <x:c r="C107" t="n">
        <x:f>원본자료!I93</x:f>
        <x:v>2.891133866133867</x:v>
      </x:c>
      <x:c r="D107" t="n">
        <x:f>원본자료!J93</x:f>
        <x:v>-2.55280969031201</x:v>
      </x:c>
      <x:c r="H107" t="n">
        <x:f>원본자료!F107</x:f>
        <x:v>0.225</x:v>
      </x:c>
      <x:c r="I107" t="n">
        <x:f>원본자료!H107</x:f>
        <x:v>0.050625</x:v>
      </x:c>
    </x:row>
    <x:row r="108">
      <x:c r="A108" t="n">
        <x:f>원본자료!F94</x:f>
        <x:v>0.25</x:v>
      </x:c>
      <x:c r="B108" t="n">
        <x:f>원본자료!G94</x:f>
        <x:v>2.23</x:v>
      </x:c>
      <x:c r="C108" t="n">
        <x:f>원본자료!I94</x:f>
        <x:v>5.932823176823174</x:v>
      </x:c>
      <x:c r="D108" t="n">
        <x:f>원본자료!J94</x:f>
        <x:v>-1.6886978022012968</x:v>
      </x:c>
      <x:c r="H108" t="n">
        <x:f>원본자료!F108</x:f>
        <x:v>0.25</x:v>
      </x:c>
      <x:c r="I108" t="n">
        <x:f>원본자료!H108</x:f>
        <x:v>0.0625</x:v>
      </x:c>
    </x:row>
    <x:row r="109">
      <x:c r="A109" t="n">
        <x:f>원본자료!F95</x:f>
        <x:v>0.275</x:v>
      </x:c>
      <x:c r="B109" t="n">
        <x:f>원본자료!G95</x:f>
        <x:v>3.09</x:v>
      </x:c>
      <x:c r="C109" t="n">
        <x:f>원본자료!I95</x:f>
        <x:v>8.974512487512484</x:v>
      </x:c>
      <x:c r="D109" t="n">
        <x:f>원본자료!J95</x:f>
        <x:v>0.2642027971986636</x:v>
      </x:c>
      <x:c r="H109" t="n">
        <x:f>원본자료!F109</x:f>
        <x:v>0.275</x:v>
      </x:c>
      <x:c r="I109" t="n">
        <x:f>원본자료!H109</x:f>
        <x:v>0.07562500000000001</x:v>
      </x:c>
    </x:row>
    <x:row r="110">
      <x:c r="A110" t="n">
        <x:f>원본자료!F96</x:f>
        <x:v>0.3</x:v>
      </x:c>
      <x:c r="B110" t="n">
        <x:f>원본자료!G96</x:f>
        <x:v>4.09</x:v>
      </x:c>
      <x:c r="C110" t="n">
        <x:f>원본자료!I96</x:f>
        <x:v>12.016201798201784</x:v>
      </x:c>
      <x:c r="D110" t="n">
        <x:f>원본자료!J96</x:f>
        <x:v>3.305892107887857</x:v>
      </x:c>
      <x:c r="H110" t="n">
        <x:f>원본자료!F110</x:f>
        <x:v>0.3</x:v>
      </x:c>
      <x:c r="I110" t="n">
        <x:f>원본자료!H110</x:f>
        <x:v>0.09</x:v>
      </x:c>
    </x:row>
    <x:row r="111">
      <x:c r="A111" t="n">
        <x:f>원본자료!F97</x:f>
        <x:v>0.325</x:v>
      </x:c>
      <x:c r="B111" t="n">
        <x:f>원본자료!G97</x:f>
        <x:v>5.82</x:v>
      </x:c>
      <x:c r="C111" t="n">
        <x:f>원본자료!I97</x:f>
        <x:v>15.057891108891098</x:v>
      </x:c>
      <x:c r="D111" t="n">
        <x:f>원본자료!J97</x:f>
        <x:v>7.4363701298663045</x:v>
      </x:c>
      <x:c r="H111" t="n">
        <x:f>원본자료!F111</x:f>
        <x:v>0.325</x:v>
      </x:c>
      <x:c r="I111" t="n">
        <x:f>원본자료!H111</x:f>
        <x:v>0.10562500000000001</x:v>
      </x:c>
    </x:row>
    <x:row r="112">
      <x:c r="A112" t="n">
        <x:f>원본자료!F98</x:f>
        <x:v>0.35</x:v>
      </x:c>
      <x:c r="B112" t="n">
        <x:f>원본자료!G98</x:f>
        <x:v>8.28</x:v>
      </x:c>
      <x:c r="C112" t="n">
        <x:f>원본자료!I98</x:f>
        <x:v>18.0995804195804</x:v>
      </x:c>
      <x:c r="D112" t="n">
        <x:f>원본자료!J98</x:f>
        <x:v>12.655636863133978</x:v>
      </x:c>
      <x:c r="H112" t="n">
        <x:f>원본자료!F112</x:f>
        <x:v>0.35</x:v>
      </x:c>
      <x:c r="I112" t="n">
        <x:f>원본자료!H112</x:f>
        <x:v>0.12249999999999998</x:v>
      </x:c>
    </x:row>
    <x:row r="113">
      <x:c r="A113" t="n">
        <x:f>원본자료!F99</x:f>
        <x:v>0.375</x:v>
      </x:c>
      <x:c r="B113" t="n">
        <x:f>원본자료!G99</x:f>
        <x:v>12.8</x:v>
      </x:c>
      <x:c r="C113" t="n">
        <x:f>원본자료!I99</x:f>
        <x:v>21.141269730269713</x:v>
      </x:c>
      <x:c r="D113" t="n">
        <x:f>원본자료!J99</x:f>
        <x:v>18.96369230769092</x:v>
      </x:c>
      <x:c r="H113" t="n">
        <x:f>원본자료!F113</x:f>
        <x:v>0.375</x:v>
      </x:c>
      <x:c r="I113" t="n">
        <x:f>원본자료!H113</x:f>
        <x:v>0.140625</x:v>
      </x:c>
    </x:row>
    <x:row r="114">
      <x:c r="A114" t="n">
        <x:f>원본자료!F100</x:f>
        <x:v>0.4</x:v>
      </x:c>
      <x:c r="B114" t="n">
        <x:f>원본자료!G100</x:f>
        <x:v>20.41</x:v>
      </x:c>
      <x:c r="C114" t="n">
        <x:f>원본자료!I100</x:f>
        <x:v>24.18295904095902</x:v>
      </x:c>
      <x:c r="D114" t="n">
        <x:f>원본자료!J100</x:f>
        <x:v>26.360536463537102</x:v>
      </x:c>
      <x:c r="H114" t="n">
        <x:f>원본자료!F114</x:f>
        <x:v>0.4</x:v>
      </x:c>
      <x:c r="I114" t="n">
        <x:f>원본자료!H114</x:f>
        <x:v>0.16000000000000003</x:v>
      </x:c>
    </x:row>
    <x:row r="115">
      <x:c r="A115" t="n">
        <x:f>원본자료!F101</x:f>
        <x:v>0.425</x:v>
      </x:c>
      <x:c r="B115" t="n">
        <x:f>원본자료!G101</x:f>
        <x:v>32.34</x:v>
      </x:c>
      <x:c r="C115" t="n">
        <x:f>원본자료!I101</x:f>
        <x:v>27.224648351648327</x:v>
      </x:c>
      <x:c r="D115" t="n">
        <x:f>원본자료!J101</x:f>
        <x:v>34.846169330672495</x:v>
      </x:c>
      <x:c r="H115" t="n">
        <x:f>원본자료!F115</x:f>
        <x:v>0.425</x:v>
      </x:c>
      <x:c r="I115" t="n">
        <x:f>원본자료!H115</x:f>
        <x:v>0.18062499999999998</x:v>
      </x:c>
    </x:row>
    <x:row r="116">
      <x:c r="A116" t="n">
        <x:f>원본자료!F102</x:f>
        <x:v>0.45</x:v>
      </x:c>
      <x:c r="B116" t="n">
        <x:f>원본자료!G102</x:f>
        <x:v>47.29</x:v>
      </x:c>
      <x:c r="C116" t="n">
        <x:f>원본자료!I102</x:f>
        <x:v>30.266337662337634</x:v>
      </x:c>
      <x:c r="D116" t="n">
        <x:f>원본자료!J102</x:f>
        <x:v>44.42059090909717</x:v>
      </x:c>
      <x:c r="H116" t="n">
        <x:f>원본자료!F116</x:f>
        <x:v>0.45</x:v>
      </x:c>
      <x:c r="I116" t="n">
        <x:f>원본자료!H116</x:f>
        <x:v>0.2025</x:v>
      </x:c>
    </x:row>
    <x:row r="117">
      <x:c r="A117" t="n">
        <x:f>원본자료!F103</x:f>
        <x:v>0.125</x:v>
      </x:c>
      <x:c r="B117" t="n">
        <x:f>원본자료!G103</x:f>
        <x:v>0.2</x:v>
      </x:c>
      <x:c r="C117" t="n">
        <x:f>원본자료!I103</x:f>
        <x:v>-9.275623376623363</x:v>
      </x:c>
      <x:c r="D117" t="n">
        <x:f>원본자료!J103</x:f>
        <x:v>4.878629870137585</x:v>
      </x:c>
      <x:c r="H117" t="n">
        <x:f>원본자료!F117</x:f>
        <x:v>0.125</x:v>
      </x:c>
      <x:c r="I117" t="n">
        <x:f>원본자료!H117</x:f>
        <x:v>0.015625</x:v>
      </x:c>
    </x:row>
    <x:row r="118">
      <x:c r="A118" t="n">
        <x:f>원본자료!F104</x:f>
        <x:v>0.15</x:v>
      </x:c>
      <x:c r="B118" t="n">
        <x:f>원본자료!G104</x:f>
        <x:v>0.38</x:v>
      </x:c>
      <x:c r="C118" t="n">
        <x:f>원본자료!I104</x:f>
        <x:v>-6.233934065934058</x:v>
      </x:c>
      <x:c r="D118" t="n">
        <x:f>원본자료!J104</x:f>
        <x:v>1.3875869130913223</x:v>
      </x:c>
      <x:c r="H118" t="n">
        <x:f>원본자료!F118</x:f>
        <x:v>0.15</x:v>
      </x:c>
      <x:c r="I118" t="n">
        <x:f>원본자료!H118</x:f>
        <x:v>0.0225</x:v>
      </x:c>
    </x:row>
    <x:row r="119">
      <x:c r="A119" t="n">
        <x:f>원본자료!F105</x:f>
        <x:v>0.175</x:v>
      </x:c>
      <x:c r="B119" t="n">
        <x:f>원본자료!G105</x:f>
        <x:v>0.64</x:v>
      </x:c>
      <x:c r="C119" t="n">
        <x:f>원본자료!I105</x:f>
        <x:v>-3.192244755244751</x:v>
      </x:c>
      <x:c r="D119" t="n">
        <x:f>원본자료!J105</x:f>
        <x:v>-1.0146673326656988</x:v>
      </x:c>
      <x:c r="H119" t="n">
        <x:f>원본자료!F119</x:f>
        <x:v>0.175</x:v>
      </x:c>
      <x:c r="I119" t="n">
        <x:f>원본자료!H119</x:f>
        <x:v>0.030624999999999996</x:v>
      </x:c>
    </x:row>
    <x:row r="120">
      <x:c r="A120" t="n">
        <x:f>원본자료!F106</x:f>
        <x:v>0.2</x:v>
      </x:c>
      <x:c r="B120" t="n">
        <x:f>원본자료!G106</x:f>
        <x:v>0.97</x:v>
      </x:c>
      <x:c r="C120" t="n">
        <x:f>원본자료!I106</x:f>
        <x:v>-0.15055544455544023</x:v>
      </x:c>
      <x:c r="D120" t="n">
        <x:f>원본자료!J106</x:f>
        <x:v>-2.3281328671334762</x:v>
      </x:c>
      <x:c r="H120" t="n">
        <x:f>원본자료!F120</x:f>
        <x:v>0.2</x:v>
      </x:c>
      <x:c r="I120" t="n">
        <x:f>원본자료!H120</x:f>
        <x:v>0.04000000000000001</x:v>
      </x:c>
    </x:row>
    <x:row r="121">
      <x:c r="A121" t="n">
        <x:f>원본자료!F107</x:f>
        <x:v>0.225</x:v>
      </x:c>
      <x:c r="B121" t="n">
        <x:f>원본자료!G107</x:f>
        <x:v>1.36</x:v>
      </x:c>
      <x:c r="C121" t="n">
        <x:f>원본자료!I107</x:f>
        <x:v>2.891133866133867</x:v>
      </x:c>
      <x:c r="D121" t="n">
        <x:f>원본자료!J107</x:f>
        <x:v>-2.55280969031201</x:v>
      </x:c>
      <x:c r="H121" t="n">
        <x:f>원본자료!F121</x:f>
        <x:v>0.225</x:v>
      </x:c>
      <x:c r="I121" t="n">
        <x:f>원본자료!H121</x:f>
        <x:v>0.050625</x:v>
      </x:c>
    </x:row>
    <x:row r="122">
      <x:c r="A122" t="n">
        <x:f>원본자료!F108</x:f>
        <x:v>0.25</x:v>
      </x:c>
      <x:c r="B122" t="n">
        <x:f>원본자료!G108</x:f>
        <x:v>1.98</x:v>
      </x:c>
      <x:c r="C122" t="n">
        <x:f>원본자료!I108</x:f>
        <x:v>5.932823176823174</x:v>
      </x:c>
      <x:c r="D122" t="n">
        <x:f>원본자료!J108</x:f>
        <x:v>-1.6886978022012968</x:v>
      </x:c>
      <x:c r="H122" t="n">
        <x:f>원본자료!F122</x:f>
        <x:v>0.25</x:v>
      </x:c>
      <x:c r="I122" t="n">
        <x:f>원본자료!H122</x:f>
        <x:v>0.0625</x:v>
      </x:c>
    </x:row>
    <x:row r="123">
      <x:c r="A123" t="n">
        <x:f>원본자료!F109</x:f>
        <x:v>0.275</x:v>
      </x:c>
      <x:c r="B123" t="n">
        <x:f>원본자료!G109</x:f>
        <x:v>2.91</x:v>
      </x:c>
      <x:c r="C123" t="n">
        <x:f>원본자료!I109</x:f>
        <x:v>8.974512487512484</x:v>
      </x:c>
      <x:c r="D123" t="n">
        <x:f>원본자료!J109</x:f>
        <x:v>0.2642027971986636</x:v>
      </x:c>
      <x:c r="H123" t="n">
        <x:f>원본자료!F123</x:f>
        <x:v>0.275</x:v>
      </x:c>
      <x:c r="I123" t="n">
        <x:f>원본자료!H123</x:f>
        <x:v>0.07562500000000001</x:v>
      </x:c>
    </x:row>
    <x:row r="124">
      <x:c r="A124" t="n">
        <x:f>원본자료!F110</x:f>
        <x:v>0.3</x:v>
      </x:c>
      <x:c r="B124" t="n">
        <x:f>원본자료!G110</x:f>
        <x:v>4.35</x:v>
      </x:c>
      <x:c r="C124" t="n">
        <x:f>원본자료!I110</x:f>
        <x:v>12.016201798201784</x:v>
      </x:c>
      <x:c r="D124" t="n">
        <x:f>원본자료!J110</x:f>
        <x:v>3.305892107887857</x:v>
      </x:c>
      <x:c r="H124" t="n">
        <x:f>원본자료!F124</x:f>
        <x:v>0.3</x:v>
      </x:c>
      <x:c r="I124" t="n">
        <x:f>원본자료!H124</x:f>
        <x:v>0.09</x:v>
      </x:c>
    </x:row>
    <x:row r="125">
      <x:c r="A125" t="n">
        <x:f>원본자료!F111</x:f>
        <x:v>0.325</x:v>
      </x:c>
      <x:c r="B125" t="n">
        <x:f>원본자료!G111</x:f>
        <x:v>5.79</x:v>
      </x:c>
      <x:c r="C125" t="n">
        <x:f>원본자료!I111</x:f>
        <x:v>15.057891108891098</x:v>
      </x:c>
      <x:c r="D125" t="n">
        <x:f>원본자료!J111</x:f>
        <x:v>7.4363701298663045</x:v>
      </x:c>
      <x:c r="H125" t="n">
        <x:f>원본자료!F125</x:f>
        <x:v>0.325</x:v>
      </x:c>
      <x:c r="I125" t="n">
        <x:f>원본자료!H125</x:f>
        <x:v>0.10562500000000001</x:v>
      </x:c>
    </x:row>
    <x:row r="126">
      <x:c r="A126" t="n">
        <x:f>원본자료!F112</x:f>
        <x:v>0.35</x:v>
      </x:c>
      <x:c r="B126" t="n">
        <x:f>원본자료!G112</x:f>
        <x:v>8.04</x:v>
      </x:c>
      <x:c r="C126" t="n">
        <x:f>원본자료!I112</x:f>
        <x:v>18.0995804195804</x:v>
      </x:c>
      <x:c r="D126" t="n">
        <x:f>원본자료!J112</x:f>
        <x:v>12.655636863133978</x:v>
      </x:c>
      <x:c r="H126" t="n">
        <x:f>원본자료!F126</x:f>
        <x:v>0.35</x:v>
      </x:c>
      <x:c r="I126" t="n">
        <x:f>원본자료!H126</x:f>
        <x:v>0.12249999999999998</x:v>
      </x:c>
    </x:row>
    <x:row r="127">
      <x:c r="A127" t="n">
        <x:f>원본자료!F113</x:f>
        <x:v>0.375</x:v>
      </x:c>
      <x:c r="B127" t="n">
        <x:f>원본자료!G113</x:f>
        <x:v>12.15</x:v>
      </x:c>
      <x:c r="C127" t="n">
        <x:f>원본자료!I113</x:f>
        <x:v>21.141269730269713</x:v>
      </x:c>
      <x:c r="D127" t="n">
        <x:f>원본자료!J113</x:f>
        <x:v>18.96369230769092</x:v>
      </x:c>
      <x:c r="H127" t="n">
        <x:f>원본자료!F127</x:f>
        <x:v>0.375</x:v>
      </x:c>
      <x:c r="I127" t="n">
        <x:f>원본자료!H127</x:f>
        <x:v>0.140625</x:v>
      </x:c>
    </x:row>
    <x:row r="128">
      <x:c r="A128" t="n">
        <x:f>원본자료!F114</x:f>
        <x:v>0.4</x:v>
      </x:c>
      <x:c r="B128" t="n">
        <x:f>원본자료!G114</x:f>
        <x:v>19.18</x:v>
      </x:c>
      <x:c r="C128" t="n">
        <x:f>원본자료!I114</x:f>
        <x:v>24.18295904095902</x:v>
      </x:c>
      <x:c r="D128" t="n">
        <x:f>원본자료!J114</x:f>
        <x:v>26.360536463537102</x:v>
      </x:c>
      <x:c r="H128" t="n">
        <x:f>원본자료!F128</x:f>
        <x:v>0.4</x:v>
      </x:c>
      <x:c r="I128" t="n">
        <x:f>원본자료!H128</x:f>
        <x:v>0.16000000000000003</x:v>
      </x:c>
    </x:row>
    <x:row r="129">
      <x:c r="A129" t="n">
        <x:f>원본자료!F115</x:f>
        <x:v>0.425</x:v>
      </x:c>
      <x:c r="B129" t="n">
        <x:f>원본자료!G115</x:f>
        <x:v>30.09</x:v>
      </x:c>
      <x:c r="C129" t="n">
        <x:f>원본자료!I115</x:f>
        <x:v>27.224648351648327</x:v>
      </x:c>
      <x:c r="D129" t="n">
        <x:f>원본자료!J115</x:f>
        <x:v>34.846169330672495</x:v>
      </x:c>
      <x:c r="H129" t="n">
        <x:f>원본자료!F129</x:f>
        <x:v>0.425</x:v>
      </x:c>
      <x:c r="I129" t="n">
        <x:f>원본자료!H129</x:f>
        <x:v>0.18062499999999998</x:v>
      </x:c>
    </x:row>
    <x:row r="130">
      <x:c r="A130" t="n">
        <x:f>원본자료!F116</x:f>
        <x:v>0.45</x:v>
      </x:c>
      <x:c r="B130" t="n">
        <x:f>원본자료!G116</x:f>
        <x:v>44.38</x:v>
      </x:c>
      <x:c r="C130" t="n">
        <x:f>원본자료!I116</x:f>
        <x:v>30.266337662337634</x:v>
      </x:c>
      <x:c r="D130" t="n">
        <x:f>원본자료!J116</x:f>
        <x:v>44.42059090909717</x:v>
      </x:c>
      <x:c r="H130" t="n">
        <x:f>원본자료!F130</x:f>
        <x:v>0.45</x:v>
      </x:c>
      <x:c r="I130" t="n">
        <x:f>원본자료!H130</x:f>
        <x:v>0.2025</x:v>
      </x:c>
    </x:row>
    <x:row r="131">
      <x:c r="A131" t="n">
        <x:f>원본자료!F117</x:f>
        <x:v>0.125</x:v>
      </x:c>
      <x:c r="B131" t="n">
        <x:f>원본자료!G117</x:f>
        <x:v>0.15</x:v>
      </x:c>
      <x:c r="C131" t="n">
        <x:f>원본자료!I117</x:f>
        <x:v>-9.275623376623363</x:v>
      </x:c>
      <x:c r="D131" t="n">
        <x:f>원본자료!J117</x:f>
        <x:v>4.878629870137585</x:v>
      </x:c>
      <x:c r="H131" t="n">
        <x:f>원본자료!F131</x:f>
        <x:v>0.125</x:v>
      </x:c>
      <x:c r="I131" t="n">
        <x:f>원본자료!H131</x:f>
        <x:v>0.015625</x:v>
      </x:c>
    </x:row>
    <x:row r="132">
      <x:c r="A132" t="n">
        <x:f>원본자료!F118</x:f>
        <x:v>0.15</x:v>
      </x:c>
      <x:c r="B132" t="n">
        <x:f>원본자료!G118</x:f>
        <x:v>0.32</x:v>
      </x:c>
      <x:c r="C132" t="n">
        <x:f>원본자료!I118</x:f>
        <x:v>-6.233934065934058</x:v>
      </x:c>
      <x:c r="D132" t="n">
        <x:f>원본자료!J118</x:f>
        <x:v>1.3875869130913223</x:v>
      </x:c>
      <x:c r="H132" t="n">
        <x:f>원본자료!F132</x:f>
        <x:v>0.15</x:v>
      </x:c>
      <x:c r="I132" t="n">
        <x:f>원본자료!H132</x:f>
        <x:v>0.0225</x:v>
      </x:c>
    </x:row>
    <x:row r="133">
      <x:c r="A133" t="n">
        <x:f>원본자료!F119</x:f>
        <x:v>0.175</x:v>
      </x:c>
      <x:c r="B133" t="n">
        <x:f>원본자료!G119</x:f>
        <x:v>0.55</x:v>
      </x:c>
      <x:c r="C133" t="n">
        <x:f>원본자료!I119</x:f>
        <x:v>-3.192244755244751</x:v>
      </x:c>
      <x:c r="D133" t="n">
        <x:f>원본자료!J119</x:f>
        <x:v>-1.0146673326656988</x:v>
      </x:c>
      <x:c r="H133" t="n">
        <x:f>원본자료!F133</x:f>
        <x:v>0.175</x:v>
      </x:c>
      <x:c r="I133" t="n">
        <x:f>원본자료!H133</x:f>
        <x:v>0.030624999999999996</x:v>
      </x:c>
    </x:row>
    <x:row r="134">
      <x:c r="A134" t="n">
        <x:f>원본자료!F120</x:f>
        <x:v>0.2</x:v>
      </x:c>
      <x:c r="B134" t="n">
        <x:f>원본자료!G120</x:f>
        <x:v>0.86</x:v>
      </x:c>
      <x:c r="C134" t="n">
        <x:f>원본자료!I120</x:f>
        <x:v>-0.15055544455544023</x:v>
      </x:c>
      <x:c r="D134" t="n">
        <x:f>원본자료!J120</x:f>
        <x:v>-2.3281328671334762</x:v>
      </x:c>
      <x:c r="H134" t="n">
        <x:f>원본자료!F134</x:f>
        <x:v>0.2</x:v>
      </x:c>
      <x:c r="I134" t="n">
        <x:f>원본자료!H134</x:f>
        <x:v>0.04000000000000001</x:v>
      </x:c>
    </x:row>
    <x:row r="135">
      <x:c r="A135" t="n">
        <x:f>원본자료!F121</x:f>
        <x:v>0.225</x:v>
      </x:c>
      <x:c r="B135" t="n">
        <x:f>원본자료!G121</x:f>
        <x:v>1.24</x:v>
      </x:c>
      <x:c r="C135" t="n">
        <x:f>원본자료!I121</x:f>
        <x:v>2.891133866133867</x:v>
      </x:c>
      <x:c r="D135" t="n">
        <x:f>원본자료!J121</x:f>
        <x:v>-2.55280969031201</x:v>
      </x:c>
      <x:c r="H135" t="n">
        <x:f>원본자료!F135</x:f>
        <x:v>0.225</x:v>
      </x:c>
      <x:c r="I135" t="n">
        <x:f>원본자료!H135</x:f>
        <x:v>0.050625</x:v>
      </x:c>
    </x:row>
    <x:row r="136">
      <x:c r="A136" t="n">
        <x:f>원본자료!F122</x:f>
        <x:v>0.25</x:v>
      </x:c>
      <x:c r="B136" t="n">
        <x:f>원본자료!G122</x:f>
        <x:v>1.76</x:v>
      </x:c>
      <x:c r="C136" t="n">
        <x:f>원본자료!I122</x:f>
        <x:v>5.932823176823174</x:v>
      </x:c>
      <x:c r="D136" t="n">
        <x:f>원본자료!J122</x:f>
        <x:v>-1.6886978022012968</x:v>
      </x:c>
      <x:c r="H136" t="n">
        <x:f>원본자료!F136</x:f>
        <x:v>0.25</x:v>
      </x:c>
      <x:c r="I136" t="n">
        <x:f>원본자료!H136</x:f>
        <x:v>0.0625</x:v>
      </x:c>
    </x:row>
    <x:row r="137">
      <x:c r="A137" t="n">
        <x:f>원본자료!F123</x:f>
        <x:v>0.275</x:v>
      </x:c>
      <x:c r="B137" t="n">
        <x:f>원본자료!G123</x:f>
        <x:v>2.49</x:v>
      </x:c>
      <x:c r="C137" t="n">
        <x:f>원본자료!I123</x:f>
        <x:v>8.974512487512484</x:v>
      </x:c>
      <x:c r="D137" t="n">
        <x:f>원본자료!J123</x:f>
        <x:v>0.2642027971986636</x:v>
      </x:c>
      <x:c r="H137" t="n">
        <x:f>원본자료!F137</x:f>
        <x:v>0.275</x:v>
      </x:c>
      <x:c r="I137" t="n">
        <x:f>원본자료!H137</x:f>
        <x:v>0.07562500000000001</x:v>
      </x:c>
    </x:row>
    <x:row r="138">
      <x:c r="A138" t="n">
        <x:f>원본자료!F124</x:f>
        <x:v>0.3</x:v>
      </x:c>
      <x:c r="B138" t="n">
        <x:f>원본자료!G124</x:f>
        <x:v>3.45</x:v>
      </x:c>
      <x:c r="C138" t="n">
        <x:f>원본자료!I124</x:f>
        <x:v>12.016201798201784</x:v>
      </x:c>
      <x:c r="D138" t="n">
        <x:f>원본자료!J124</x:f>
        <x:v>3.305892107887857</x:v>
      </x:c>
      <x:c r="H138" t="n">
        <x:f>원본자료!F138</x:f>
        <x:v>0.3</x:v>
      </x:c>
      <x:c r="I138" t="n">
        <x:f>원본자료!H138</x:f>
        <x:v>0.09</x:v>
      </x:c>
    </x:row>
    <x:row r="139">
      <x:c r="A139" t="n">
        <x:f>원본자료!F125</x:f>
        <x:v>0.325</x:v>
      </x:c>
      <x:c r="B139" t="n">
        <x:f>원본자료!G125</x:f>
        <x:v>4.83</x:v>
      </x:c>
      <x:c r="C139" t="n">
        <x:f>원본자료!I125</x:f>
        <x:v>15.057891108891098</x:v>
      </x:c>
      <x:c r="D139" t="n">
        <x:f>원본자료!J125</x:f>
        <x:v>7.4363701298663045</x:v>
      </x:c>
      <x:c r="H139" t="n">
        <x:f>원본자료!F139</x:f>
        <x:v>0.325</x:v>
      </x:c>
      <x:c r="I139" t="n">
        <x:f>원본자료!H139</x:f>
        <x:v>0.10562500000000001</x:v>
      </x:c>
    </x:row>
    <x:row r="140">
      <x:c r="A140" t="n">
        <x:f>원본자료!F126</x:f>
        <x:v>0.35</x:v>
      </x:c>
      <x:c r="B140" t="n">
        <x:f>원본자료!G126</x:f>
        <x:v>7.37</x:v>
      </x:c>
      <x:c r="C140" t="n">
        <x:f>원본자료!I126</x:f>
        <x:v>18.0995804195804</x:v>
      </x:c>
      <x:c r="D140" t="n">
        <x:f>원본자료!J126</x:f>
        <x:v>12.655636863133978</x:v>
      </x:c>
      <x:c r="H140" t="n">
        <x:f>원본자료!F140</x:f>
        <x:v>0.35</x:v>
      </x:c>
      <x:c r="I140" t="n">
        <x:f>원본자료!H140</x:f>
        <x:v>0.12249999999999998</x:v>
      </x:c>
    </x:row>
    <x:row r="141">
      <x:c r="A141" t="n">
        <x:f>원본자료!F127</x:f>
        <x:v>0.375</x:v>
      </x:c>
      <x:c r="B141" t="n">
        <x:f>원본자료!G127</x:f>
        <x:v>12.76</x:v>
      </x:c>
      <x:c r="C141" t="n">
        <x:f>원본자료!I127</x:f>
        <x:v>21.141269730269713</x:v>
      </x:c>
      <x:c r="D141" t="n">
        <x:f>원본자료!J127</x:f>
        <x:v>18.96369230769092</x:v>
      </x:c>
      <x:c r="H141" t="n">
        <x:f>원본자료!F141</x:f>
        <x:v>0.375</x:v>
      </x:c>
      <x:c r="I141" t="n">
        <x:f>원본자료!H141</x:f>
        <x:v>0.140625</x:v>
      </x:c>
    </x:row>
    <x:row r="142">
      <x:c r="A142" t="n">
        <x:f>원본자료!F128</x:f>
        <x:v>0.4</x:v>
      </x:c>
      <x:c r="B142" t="n">
        <x:f>원본자료!G128</x:f>
        <x:v>21.99</x:v>
      </x:c>
      <x:c r="C142" t="n">
        <x:f>원본자료!I128</x:f>
        <x:v>24.18295904095902</x:v>
      </x:c>
      <x:c r="D142" t="n">
        <x:f>원본자료!J128</x:f>
        <x:v>26.360536463537102</x:v>
      </x:c>
      <x:c r="H142" t="n">
        <x:f>원본자료!F142</x:f>
        <x:v>0.4</x:v>
      </x:c>
      <x:c r="I142" t="n">
        <x:f>원본자료!H142</x:f>
        <x:v>0.16000000000000003</x:v>
      </x:c>
    </x:row>
    <x:row r="143">
      <x:c r="A143" t="n">
        <x:f>원본자료!F129</x:f>
        <x:v>0.425</x:v>
      </x:c>
      <x:c r="B143" t="n">
        <x:f>원본자료!G129</x:f>
        <x:v>35.64</x:v>
      </x:c>
      <x:c r="C143" t="n">
        <x:f>원본자료!I129</x:f>
        <x:v>27.224648351648327</x:v>
      </x:c>
      <x:c r="D143" t="n">
        <x:f>원본자료!J129</x:f>
        <x:v>34.846169330672495</x:v>
      </x:c>
      <x:c r="H143" t="n">
        <x:f>원본자료!F143</x:f>
        <x:v>0.425</x:v>
      </x:c>
      <x:c r="I143" t="n">
        <x:f>원본자료!H143</x:f>
        <x:v>0.18062499999999998</x:v>
      </x:c>
    </x:row>
    <x:row r="144">
      <x:c r="A144" t="n">
        <x:f>원본자료!F130</x:f>
        <x:v>0.45</x:v>
      </x:c>
      <x:c r="B144" t="n">
        <x:f>원본자료!G130</x:f>
        <x:v>53.07</x:v>
      </x:c>
      <x:c r="C144" t="n">
        <x:f>원본자료!I130</x:f>
        <x:v>30.266337662337634</x:v>
      </x:c>
      <x:c r="D144" t="n">
        <x:f>원본자료!J130</x:f>
        <x:v>44.42059090909717</x:v>
      </x:c>
      <x:c r="H144" t="n">
        <x:f>원본자료!F144</x:f>
        <x:v>0.45</x:v>
      </x:c>
      <x:c r="I144" t="n">
        <x:f>원본자료!H144</x:f>
        <x:v>0.2025</x:v>
      </x:c>
    </x:row>
    <x:row r="145">
      <x:c r="A145" t="n">
        <x:f>원본자료!F131</x:f>
        <x:v>0.125</x:v>
      </x:c>
      <x:c r="B145" t="n">
        <x:f>원본자료!G131</x:f>
        <x:v>0.11</x:v>
      </x:c>
      <x:c r="C145" t="n">
        <x:f>원본자료!I131</x:f>
        <x:v>-9.275623376623363</x:v>
      </x:c>
      <x:c r="D145" t="n">
        <x:f>원본자료!J131</x:f>
        <x:v>4.878629870137585</x:v>
      </x:c>
      <x:c r="H145" t="n">
        <x:f>원본자료!F145</x:f>
        <x:v>0.125</x:v>
      </x:c>
      <x:c r="I145" t="n">
        <x:f>원본자료!H145</x:f>
        <x:v>0.015625</x:v>
      </x:c>
    </x:row>
    <x:row r="146">
      <x:c r="A146" t="n">
        <x:f>원본자료!F132</x:f>
        <x:v>0.15</x:v>
      </x:c>
      <x:c r="B146" t="n">
        <x:f>원본자료!G132</x:f>
        <x:v>0.24</x:v>
      </x:c>
      <x:c r="C146" t="n">
        <x:f>원본자료!I132</x:f>
        <x:v>-6.233934065934058</x:v>
      </x:c>
      <x:c r="D146" t="n">
        <x:f>원본자료!J132</x:f>
        <x:v>1.3875869130913223</x:v>
      </x:c>
      <x:c r="H146" t="n">
        <x:f>원본자료!F146</x:f>
        <x:v>0.15</x:v>
      </x:c>
      <x:c r="I146" t="n">
        <x:f>원본자료!H146</x:f>
        <x:v>0.0225</x:v>
      </x:c>
    </x:row>
    <x:row r="147">
      <x:c r="A147" t="n">
        <x:f>원본자료!F133</x:f>
        <x:v>0.175</x:v>
      </x:c>
      <x:c r="B147" t="n">
        <x:f>원본자료!G133</x:f>
        <x:v>0.49</x:v>
      </x:c>
      <x:c r="C147" t="n">
        <x:f>원본자료!I133</x:f>
        <x:v>-3.192244755244751</x:v>
      </x:c>
      <x:c r="D147" t="n">
        <x:f>원본자료!J133</x:f>
        <x:v>-1.0146673326656988</x:v>
      </x:c>
      <x:c r="H147" t="n">
        <x:f>원본자료!F147</x:f>
        <x:v>0.175</x:v>
      </x:c>
      <x:c r="I147" t="n">
        <x:f>원본자료!H147</x:f>
        <x:v>0.030624999999999996</x:v>
      </x:c>
    </x:row>
    <x:row r="148">
      <x:c r="A148" t="n">
        <x:f>원본자료!F134</x:f>
        <x:v>0.2</x:v>
      </x:c>
      <x:c r="B148" t="n">
        <x:f>원본자료!G134</x:f>
        <x:v>0.79</x:v>
      </x:c>
      <x:c r="C148" t="n">
        <x:f>원본자료!I134</x:f>
        <x:v>-0.15055544455544023</x:v>
      </x:c>
      <x:c r="D148" t="n">
        <x:f>원본자료!J134</x:f>
        <x:v>-2.3281328671334762</x:v>
      </x:c>
      <x:c r="H148" t="n">
        <x:f>원본자료!F148</x:f>
        <x:v>0.2</x:v>
      </x:c>
      <x:c r="I148" t="n">
        <x:f>원본자료!H148</x:f>
        <x:v>0.04000000000000001</x:v>
      </x:c>
    </x:row>
    <x:row r="149">
      <x:c r="A149" t="n">
        <x:f>원본자료!F135</x:f>
        <x:v>0.225</x:v>
      </x:c>
      <x:c r="B149" t="n">
        <x:f>원본자료!G135</x:f>
        <x:v>1.28</x:v>
      </x:c>
      <x:c r="C149" t="n">
        <x:f>원본자료!I135</x:f>
        <x:v>2.891133866133867</x:v>
      </x:c>
      <x:c r="D149" t="n">
        <x:f>원본자료!J135</x:f>
        <x:v>-2.55280969031201</x:v>
      </x:c>
      <x:c r="H149" t="n">
        <x:f>원본자료!F149</x:f>
        <x:v>0.225</x:v>
      </x:c>
      <x:c r="I149" t="n">
        <x:f>원본자료!H149</x:f>
        <x:v>0.050625</x:v>
      </x:c>
    </x:row>
    <x:row r="150">
      <x:c r="A150" t="n">
        <x:f>원본자료!F136</x:f>
        <x:v>0.25</x:v>
      </x:c>
      <x:c r="B150" t="n">
        <x:f>원본자료!G136</x:f>
        <x:v>1.96</x:v>
      </x:c>
      <x:c r="C150" t="n">
        <x:f>원본자료!I136</x:f>
        <x:v>5.932823176823174</x:v>
      </x:c>
      <x:c r="D150" t="n">
        <x:f>원본자료!J136</x:f>
        <x:v>-1.6886978022012968</x:v>
      </x:c>
      <x:c r="H150" t="n">
        <x:f>원본자료!F150</x:f>
        <x:v>0.25</x:v>
      </x:c>
      <x:c r="I150" t="n">
        <x:f>원본자료!H150</x:f>
        <x:v>0.0625</x:v>
      </x:c>
    </x:row>
    <x:row r="151">
      <x:c r="A151" t="n">
        <x:f>원본자료!F137</x:f>
        <x:v>0.275</x:v>
      </x:c>
      <x:c r="B151" t="n">
        <x:f>원본자료!G137</x:f>
        <x:v>2.88</x:v>
      </x:c>
      <x:c r="C151" t="n">
        <x:f>원본자료!I137</x:f>
        <x:v>8.974512487512484</x:v>
      </x:c>
      <x:c r="D151" t="n">
        <x:f>원본자료!J137</x:f>
        <x:v>0.2642027971986636</x:v>
      </x:c>
      <x:c r="H151" t="n">
        <x:f>원본자료!F151</x:f>
        <x:v>0.275</x:v>
      </x:c>
      <x:c r="I151" t="n">
        <x:f>원본자료!H151</x:f>
        <x:v>0.07562500000000001</x:v>
      </x:c>
    </x:row>
    <x:row r="152">
      <x:c r="A152" t="n">
        <x:f>원본자료!F138</x:f>
        <x:v>0.3</x:v>
      </x:c>
      <x:c r="B152" t="n">
        <x:f>원본자료!G138</x:f>
        <x:v>4.14</x:v>
      </x:c>
      <x:c r="C152" t="n">
        <x:f>원본자료!I138</x:f>
        <x:v>12.016201798201784</x:v>
      </x:c>
      <x:c r="D152" t="n">
        <x:f>원본자료!J138</x:f>
        <x:v>3.305892107887857</x:v>
      </x:c>
      <x:c r="H152" t="n">
        <x:f>원본자료!F152</x:f>
        <x:v>0.3</x:v>
      </x:c>
      <x:c r="I152" t="n">
        <x:f>원본자료!H152</x:f>
        <x:v>0.09</x:v>
      </x:c>
    </x:row>
    <x:row r="153">
      <x:c r="A153" t="n">
        <x:f>원본자료!F139</x:f>
        <x:v>0.325</x:v>
      </x:c>
      <x:c r="B153" t="n">
        <x:f>원본자료!G139</x:f>
        <x:v>5.96</x:v>
      </x:c>
      <x:c r="C153" t="n">
        <x:f>원본자료!I139</x:f>
        <x:v>15.057891108891098</x:v>
      </x:c>
      <x:c r="D153" t="n">
        <x:f>원본자료!J139</x:f>
        <x:v>7.4363701298663045</x:v>
      </x:c>
      <x:c r="H153" t="n">
        <x:f>원본자료!F153</x:f>
        <x:v>0.325</x:v>
      </x:c>
      <x:c r="I153" t="n">
        <x:f>원본자료!H153</x:f>
        <x:v>0.10562500000000001</x:v>
      </x:c>
    </x:row>
    <x:row r="154">
      <x:c r="A154" t="n">
        <x:f>원본자료!F140</x:f>
        <x:v>0.35</x:v>
      </x:c>
      <x:c r="B154" t="n">
        <x:f>원본자료!G140</x:f>
        <x:v>9.07</x:v>
      </x:c>
      <x:c r="C154" t="n">
        <x:f>원본자료!I140</x:f>
        <x:v>18.0995804195804</x:v>
      </x:c>
      <x:c r="D154" t="n">
        <x:f>원본자료!J140</x:f>
        <x:v>12.655636863133978</x:v>
      </x:c>
      <x:c r="H154" t="n">
        <x:f>원본자료!F154</x:f>
        <x:v>0.35</x:v>
      </x:c>
      <x:c r="I154" t="n">
        <x:f>원본자료!H154</x:f>
        <x:v>0.12249999999999998</x:v>
      </x:c>
    </x:row>
    <x:row r="155">
      <x:c r="A155" t="n">
        <x:f>원본자료!F141</x:f>
        <x:v>0.375</x:v>
      </x:c>
      <x:c r="B155" t="n">
        <x:f>원본자료!G141</x:f>
        <x:v>14.93</x:v>
      </x:c>
      <x:c r="C155" t="n">
        <x:f>원본자료!I141</x:f>
        <x:v>21.141269730269713</x:v>
      </x:c>
      <x:c r="D155" t="n">
        <x:f>원본자료!J141</x:f>
        <x:v>18.96369230769092</x:v>
      </x:c>
      <x:c r="H155" t="n">
        <x:f>원본자료!F155</x:f>
        <x:v>0.375</x:v>
      </x:c>
      <x:c r="I155" t="n">
        <x:f>원본자료!H155</x:f>
        <x:v>0.140625</x:v>
      </x:c>
    </x:row>
    <x:row r="156">
      <x:c r="A156" t="n">
        <x:f>원본자료!F142</x:f>
        <x:v>0.4</x:v>
      </x:c>
      <x:c r="B156" t="n">
        <x:f>원본자료!G142</x:f>
        <x:v>24.13</x:v>
      </x:c>
      <x:c r="C156" t="n">
        <x:f>원본자료!I142</x:f>
        <x:v>24.18295904095902</x:v>
      </x:c>
      <x:c r="D156" t="n">
        <x:f>원본자료!J142</x:f>
        <x:v>26.360536463537102</x:v>
      </x:c>
      <x:c r="H156" t="n">
        <x:f>원본자료!F156</x:f>
        <x:v>0.4</x:v>
      </x:c>
      <x:c r="I156" t="n">
        <x:f>원본자료!H156</x:f>
        <x:v>0.16000000000000003</x:v>
      </x:c>
    </x:row>
    <x:row r="157">
      <x:c r="A157" t="n">
        <x:f>원본자료!F143</x:f>
        <x:v>0.425</x:v>
      </x:c>
      <x:c r="B157" t="n">
        <x:f>원본자료!G143</x:f>
        <x:v>38.12</x:v>
      </x:c>
      <x:c r="C157" t="n">
        <x:f>원본자료!I143</x:f>
        <x:v>27.224648351648327</x:v>
      </x:c>
      <x:c r="D157" t="n">
        <x:f>원본자료!J143</x:f>
        <x:v>34.846169330672495</x:v>
      </x:c>
      <x:c r="H157" t="n">
        <x:f>원본자료!F157</x:f>
        <x:v>0.425</x:v>
      </x:c>
      <x:c r="I157" t="n">
        <x:f>원본자료!H157</x:f>
        <x:v>0.18062499999999998</x:v>
      </x:c>
    </x:row>
    <x:row r="158">
      <x:c r="A158" t="n">
        <x:f>원본자료!F144</x:f>
        <x:v>0.45</x:v>
      </x:c>
      <x:c r="B158" t="n">
        <x:f>원본자료!G144</x:f>
        <x:v>55.44</x:v>
      </x:c>
      <x:c r="C158" t="n">
        <x:f>원본자료!I144</x:f>
        <x:v>30.266337662337634</x:v>
      </x:c>
      <x:c r="D158" t="n">
        <x:f>원본자료!J144</x:f>
        <x:v>44.42059090909717</x:v>
      </x:c>
      <x:c r="H158" t="n">
        <x:f>원본자료!F158</x:f>
        <x:v>0.45</x:v>
      </x:c>
      <x:c r="I158" t="n">
        <x:f>원본자료!H158</x:f>
        <x:v>0.2025</x:v>
      </x:c>
    </x:row>
    <x:row r="159">
      <x:c r="A159" t="n">
        <x:f>원본자료!F145</x:f>
        <x:v>0.125</x:v>
      </x:c>
      <x:c r="B159" t="n">
        <x:f>원본자료!G145</x:f>
        <x:v>0.07</x:v>
      </x:c>
      <x:c r="C159" t="n">
        <x:f>원본자료!I145</x:f>
        <x:v>-9.275623376623363</x:v>
      </x:c>
      <x:c r="D159" t="n">
        <x:f>원본자료!J145</x:f>
        <x:v>4.878629870137585</x:v>
      </x:c>
      <x:c r="H159" t="n">
        <x:f>원본자료!F159</x:f>
        <x:v>0.125</x:v>
      </x:c>
      <x:c r="I159" t="n">
        <x:f>원본자료!H159</x:f>
        <x:v>0.015625</x:v>
      </x:c>
    </x:row>
    <x:row r="160">
      <x:c r="A160" t="n">
        <x:f>원본자료!F146</x:f>
        <x:v>0.15</x:v>
      </x:c>
      <x:c r="B160" t="n">
        <x:f>원본자료!G146</x:f>
        <x:v>0.18</x:v>
      </x:c>
      <x:c r="C160" t="n">
        <x:f>원본자료!I146</x:f>
        <x:v>-6.233934065934058</x:v>
      </x:c>
      <x:c r="D160" t="n">
        <x:f>원본자료!J146</x:f>
        <x:v>1.3875869130913223</x:v>
      </x:c>
      <x:c r="H160" t="n">
        <x:f>원본자료!F160</x:f>
        <x:v>0.15</x:v>
      </x:c>
      <x:c r="I160" t="n">
        <x:f>원본자료!H160</x:f>
        <x:v>0.0225</x:v>
      </x:c>
    </x:row>
    <x:row r="161">
      <x:c r="A161" t="n">
        <x:f>원본자료!F147</x:f>
        <x:v>0.175</x:v>
      </x:c>
      <x:c r="B161" t="n">
        <x:f>원본자료!G147</x:f>
        <x:v>0.4</x:v>
      </x:c>
      <x:c r="C161" t="n">
        <x:f>원본자료!I147</x:f>
        <x:v>-3.192244755244751</x:v>
      </x:c>
      <x:c r="D161" t="n">
        <x:f>원본자료!J147</x:f>
        <x:v>-1.0146673326656988</x:v>
      </x:c>
      <x:c r="H161" t="n">
        <x:f>원본자료!F161</x:f>
        <x:v>0.175</x:v>
      </x:c>
      <x:c r="I161" t="n">
        <x:f>원본자료!H161</x:f>
        <x:v>0.030624999999999996</x:v>
      </x:c>
    </x:row>
    <x:row r="162">
      <x:c r="A162" t="n">
        <x:f>원본자료!F148</x:f>
        <x:v>0.2</x:v>
      </x:c>
      <x:c r="B162" t="n">
        <x:f>원본자료!G148</x:f>
        <x:v>0.7</x:v>
      </x:c>
      <x:c r="C162" t="n">
        <x:f>원본자료!I148</x:f>
        <x:v>-0.15055544455544023</x:v>
      </x:c>
      <x:c r="D162" t="n">
        <x:f>원본자료!J148</x:f>
        <x:v>-2.3281328671334762</x:v>
      </x:c>
      <x:c r="H162" t="n">
        <x:f>원본자료!F162</x:f>
        <x:v>0.2</x:v>
      </x:c>
      <x:c r="I162" t="n">
        <x:f>원본자료!H162</x:f>
        <x:v>0.04000000000000001</x:v>
      </x:c>
    </x:row>
    <x:row r="163">
      <x:c r="A163" t="n">
        <x:f>원본자료!F149</x:f>
        <x:v>0.225</x:v>
      </x:c>
      <x:c r="B163" t="n">
        <x:f>원본자료!G149</x:f>
        <x:v>1.14</x:v>
      </x:c>
      <x:c r="C163" t="n">
        <x:f>원본자료!I149</x:f>
        <x:v>2.891133866133867</x:v>
      </x:c>
      <x:c r="D163" t="n">
        <x:f>원본자료!J149</x:f>
        <x:v>-2.55280969031201</x:v>
      </x:c>
      <x:c r="H163" t="n">
        <x:f>원본자료!F163</x:f>
        <x:v>0.225</x:v>
      </x:c>
      <x:c r="I163" t="n">
        <x:f>원본자료!H163</x:f>
        <x:v>0.050625</x:v>
      </x:c>
    </x:row>
    <x:row r="164">
      <x:c r="A164" t="n">
        <x:f>원본자료!F150</x:f>
        <x:v>0.25</x:v>
      </x:c>
      <x:c r="B164" t="n">
        <x:f>원본자료!G150</x:f>
        <x:v>1.83</x:v>
      </x:c>
      <x:c r="C164" t="n">
        <x:f>원본자료!I150</x:f>
        <x:v>5.932823176823174</x:v>
      </x:c>
      <x:c r="D164" t="n">
        <x:f>원본자료!J150</x:f>
        <x:v>-1.6886978022012968</x:v>
      </x:c>
      <x:c r="H164" t="n">
        <x:f>원본자료!F164</x:f>
        <x:v>0.25</x:v>
      </x:c>
      <x:c r="I164" t="n">
        <x:f>원본자료!H164</x:f>
        <x:v>0.0625</x:v>
      </x:c>
    </x:row>
    <x:row r="165">
      <x:c r="A165" t="n">
        <x:f>원본자료!F151</x:f>
        <x:v>0.275</x:v>
      </x:c>
      <x:c r="B165" t="n">
        <x:f>원본자료!G151</x:f>
        <x:v>2.77</x:v>
      </x:c>
      <x:c r="C165" t="n">
        <x:f>원본자료!I151</x:f>
        <x:v>8.974512487512484</x:v>
      </x:c>
      <x:c r="D165" t="n">
        <x:f>원본자료!J151</x:f>
        <x:v>0.2642027971986636</x:v>
      </x:c>
      <x:c r="H165" t="n">
        <x:f>원본자료!F165</x:f>
        <x:v>0.275</x:v>
      </x:c>
      <x:c r="I165" t="n">
        <x:f>원본자료!H165</x:f>
        <x:v>0.07562500000000001</x:v>
      </x:c>
    </x:row>
    <x:row r="166">
      <x:c r="A166" t="n">
        <x:f>원본자료!F152</x:f>
        <x:v>0.3</x:v>
      </x:c>
      <x:c r="B166" t="n">
        <x:f>원본자료!G152</x:f>
        <x:v>4.12</x:v>
      </x:c>
      <x:c r="C166" t="n">
        <x:f>원본자료!I152</x:f>
        <x:v>12.016201798201784</x:v>
      </x:c>
      <x:c r="D166" t="n">
        <x:f>원본자료!J152</x:f>
        <x:v>3.305892107887857</x:v>
      </x:c>
      <x:c r="H166" t="n">
        <x:f>원본자료!F166</x:f>
        <x:v>0.3</x:v>
      </x:c>
      <x:c r="I166" t="n">
        <x:f>원본자료!H166</x:f>
        <x:v>0.09</x:v>
      </x:c>
    </x:row>
    <x:row r="167">
      <x:c r="A167" t="n">
        <x:f>원본자료!F153</x:f>
        <x:v>0.325</x:v>
      </x:c>
      <x:c r="B167" t="n">
        <x:f>원본자료!G153</x:f>
        <x:v>5.41</x:v>
      </x:c>
      <x:c r="C167" t="n">
        <x:f>원본자료!I153</x:f>
        <x:v>15.057891108891098</x:v>
      </x:c>
      <x:c r="D167" t="n">
        <x:f>원본자료!J153</x:f>
        <x:v>7.4363701298663045</x:v>
      </x:c>
      <x:c r="H167" t="n">
        <x:f>원본자료!F167</x:f>
        <x:v>0.325</x:v>
      </x:c>
      <x:c r="I167" t="n">
        <x:f>원본자료!H167</x:f>
        <x:v>0.10562500000000001</x:v>
      </x:c>
    </x:row>
    <x:row r="168">
      <x:c r="A168" t="n">
        <x:f>원본자료!F154</x:f>
        <x:v>0.35</x:v>
      </x:c>
      <x:c r="B168" t="n">
        <x:f>원본자료!G154</x:f>
        <x:v>7.87</x:v>
      </x:c>
      <x:c r="C168" t="n">
        <x:f>원본자료!I154</x:f>
        <x:v>18.0995804195804</x:v>
      </x:c>
      <x:c r="D168" t="n">
        <x:f>원본자료!J154</x:f>
        <x:v>12.655636863133978</x:v>
      </x:c>
      <x:c r="H168" t="n">
        <x:f>원본자료!F168</x:f>
        <x:v>0.35</x:v>
      </x:c>
      <x:c r="I168" t="n">
        <x:f>원본자료!H168</x:f>
        <x:v>0.12249999999999998</x:v>
      </x:c>
    </x:row>
    <x:row r="169">
      <x:c r="A169" t="n">
        <x:f>원본자료!F155</x:f>
        <x:v>0.375</x:v>
      </x:c>
      <x:c r="B169" t="n">
        <x:f>원본자료!G155</x:f>
        <x:v>12.71</x:v>
      </x:c>
      <x:c r="C169" t="n">
        <x:f>원본자료!I155</x:f>
        <x:v>21.141269730269713</x:v>
      </x:c>
      <x:c r="D169" t="n">
        <x:f>원본자료!J155</x:f>
        <x:v>18.96369230769092</x:v>
      </x:c>
      <x:c r="H169" t="n">
        <x:f>원본자료!F169</x:f>
        <x:v>0.375</x:v>
      </x:c>
      <x:c r="I169" t="n">
        <x:f>원본자료!H169</x:f>
        <x:v>0.140625</x:v>
      </x:c>
    </x:row>
    <x:row r="170">
      <x:c r="A170" t="n">
        <x:f>원본자료!F156</x:f>
        <x:v>0.4</x:v>
      </x:c>
      <x:c r="B170" t="n">
        <x:f>원본자료!G156</x:f>
        <x:v>21.02</x:v>
      </x:c>
      <x:c r="C170" t="n">
        <x:f>원본자료!I156</x:f>
        <x:v>24.18295904095902</x:v>
      </x:c>
      <x:c r="D170" t="n">
        <x:f>원본자료!J156</x:f>
        <x:v>26.360536463537102</x:v>
      </x:c>
      <x:c r="H170" t="n">
        <x:f>원본자료!F170</x:f>
        <x:v>0.4</x:v>
      </x:c>
      <x:c r="I170" t="n">
        <x:f>원본자료!H170</x:f>
        <x:v>0.16000000000000003</x:v>
      </x:c>
    </x:row>
    <x:row r="171">
      <x:c r="A171" t="n">
        <x:f>원본자료!F157</x:f>
        <x:v>0.425</x:v>
      </x:c>
      <x:c r="B171" t="n">
        <x:f>원본자료!G157</x:f>
        <x:v>34.58</x:v>
      </x:c>
      <x:c r="C171" t="n">
        <x:f>원본자료!I157</x:f>
        <x:v>27.224648351648327</x:v>
      </x:c>
      <x:c r="D171" t="n">
        <x:f>원본자료!J157</x:f>
        <x:v>34.846169330672495</x:v>
      </x:c>
      <x:c r="H171" t="n">
        <x:f>원본자료!F171</x:f>
        <x:v>0.425</x:v>
      </x:c>
      <x:c r="I171" t="n">
        <x:f>원본자료!H171</x:f>
        <x:v>0.18062499999999998</x:v>
      </x:c>
    </x:row>
    <x:row r="172">
      <x:c r="A172" t="n">
        <x:f>원본자료!F158</x:f>
        <x:v>0.45</x:v>
      </x:c>
      <x:c r="B172" t="n">
        <x:f>원본자료!G158</x:f>
        <x:v>51.77</x:v>
      </x:c>
      <x:c r="C172" t="n">
        <x:f>원본자료!I158</x:f>
        <x:v>30.266337662337634</x:v>
      </x:c>
      <x:c r="D172" t="n">
        <x:f>원본자료!J158</x:f>
        <x:v>44.42059090909717</x:v>
      </x:c>
      <x:c r="H172" t="n">
        <x:f>원본자료!F172</x:f>
        <x:v>0.45</x:v>
      </x:c>
      <x:c r="I172" t="n">
        <x:f>원본자료!H172</x:f>
        <x:v>0.2025</x:v>
      </x:c>
    </x:row>
    <x:row r="173">
      <x:c r="A173" t="n">
        <x:f>원본자료!F159</x:f>
        <x:v>0.125</x:v>
      </x:c>
      <x:c r="B173" t="n">
        <x:f>원본자료!G159</x:f>
        <x:v>0.08</x:v>
      </x:c>
      <x:c r="C173" t="n">
        <x:f>원본자료!I159</x:f>
        <x:v>-9.275623376623363</x:v>
      </x:c>
      <x:c r="D173" t="n">
        <x:f>원본자료!J159</x:f>
        <x:v>4.878629870137585</x:v>
      </x:c>
      <x:c r="H173" t="n">
        <x:f>원본자료!F173</x:f>
        <x:v>0.125</x:v>
      </x:c>
      <x:c r="I173" t="n">
        <x:f>원본자료!H173</x:f>
        <x:v>0.015625</x:v>
      </x:c>
    </x:row>
    <x:row r="174">
      <x:c r="A174" t="n">
        <x:f>원본자료!F160</x:f>
        <x:v>0.15</x:v>
      </x:c>
      <x:c r="B174" t="n">
        <x:f>원본자료!G160</x:f>
        <x:v>0.26</x:v>
      </x:c>
      <x:c r="C174" t="n">
        <x:f>원본자료!I160</x:f>
        <x:v>-6.233934065934058</x:v>
      </x:c>
      <x:c r="D174" t="n">
        <x:f>원본자료!J160</x:f>
        <x:v>1.3875869130913223</x:v>
      </x:c>
      <x:c r="H174" t="n">
        <x:f>원본자료!F174</x:f>
        <x:v>0.15</x:v>
      </x:c>
      <x:c r="I174" t="n">
        <x:f>원본자료!H174</x:f>
        <x:v>0.0225</x:v>
      </x:c>
    </x:row>
    <x:row r="175">
      <x:c r="A175" t="n">
        <x:f>원본자료!F161</x:f>
        <x:v>0.175</x:v>
      </x:c>
      <x:c r="B175" t="n">
        <x:f>원본자료!G161</x:f>
        <x:v>0.5</x:v>
      </x:c>
      <x:c r="C175" t="n">
        <x:f>원본자료!I161</x:f>
        <x:v>-3.192244755244751</x:v>
      </x:c>
      <x:c r="D175" t="n">
        <x:f>원본자료!J161</x:f>
        <x:v>-1.0146673326656988</x:v>
      </x:c>
      <x:c r="H175" t="n">
        <x:f>원본자료!F175</x:f>
        <x:v>0.175</x:v>
      </x:c>
      <x:c r="I175" t="n">
        <x:f>원본자료!H175</x:f>
        <x:v>0.030624999999999996</x:v>
      </x:c>
    </x:row>
    <x:row r="176">
      <x:c r="A176" t="n">
        <x:f>원본자료!F162</x:f>
        <x:v>0.2</x:v>
      </x:c>
      <x:c r="B176" t="n">
        <x:f>원본자료!G162</x:f>
        <x:v>0.83</x:v>
      </x:c>
      <x:c r="C176" t="n">
        <x:f>원본자료!I162</x:f>
        <x:v>-0.15055544455544023</x:v>
      </x:c>
      <x:c r="D176" t="n">
        <x:f>원본자료!J162</x:f>
        <x:v>-2.3281328671334762</x:v>
      </x:c>
      <x:c r="H176" t="n">
        <x:f>원본자료!F176</x:f>
        <x:v>0.2</x:v>
      </x:c>
      <x:c r="I176" t="n">
        <x:f>원본자료!H176</x:f>
        <x:v>0.04000000000000001</x:v>
      </x:c>
    </x:row>
    <x:row r="177">
      <x:c r="A177" t="n">
        <x:f>원본자료!F163</x:f>
        <x:v>0.225</x:v>
      </x:c>
      <x:c r="B177" t="n">
        <x:f>원본자료!G163</x:f>
        <x:v>1.28</x:v>
      </x:c>
      <x:c r="C177" t="n">
        <x:f>원본자료!I163</x:f>
        <x:v>2.891133866133867</x:v>
      </x:c>
      <x:c r="D177" t="n">
        <x:f>원본자료!J163</x:f>
        <x:v>-2.55280969031201</x:v>
      </x:c>
      <x:c r="H177" t="n">
        <x:f>원본자료!F177</x:f>
        <x:v>0.225</x:v>
      </x:c>
      <x:c r="I177" t="n">
        <x:f>원본자료!H177</x:f>
        <x:v>0.050625</x:v>
      </x:c>
    </x:row>
    <x:row r="178">
      <x:c r="A178" t="n">
        <x:f>원본자료!F164</x:f>
        <x:v>0.25</x:v>
      </x:c>
      <x:c r="B178" t="n">
        <x:f>원본자료!G164</x:f>
        <x:v>1.9</x:v>
      </x:c>
      <x:c r="C178" t="n">
        <x:f>원본자료!I164</x:f>
        <x:v>5.932823176823174</x:v>
      </x:c>
      <x:c r="D178" t="n">
        <x:f>원본자료!J164</x:f>
        <x:v>-1.6886978022012968</x:v>
      </x:c>
      <x:c r="H178" t="n">
        <x:f>원본자료!F178</x:f>
        <x:v>0.25</x:v>
      </x:c>
      <x:c r="I178" t="n">
        <x:f>원본자료!H178</x:f>
        <x:v>0.0625</x:v>
      </x:c>
    </x:row>
    <x:row r="179">
      <x:c r="A179" t="n">
        <x:f>원본자료!F165</x:f>
        <x:v>0.275</x:v>
      </x:c>
      <x:c r="B179" t="n">
        <x:f>원본자료!G165</x:f>
        <x:v>2.68</x:v>
      </x:c>
      <x:c r="C179" t="n">
        <x:f>원본자료!I165</x:f>
        <x:v>8.974512487512484</x:v>
      </x:c>
      <x:c r="D179" t="n">
        <x:f>원본자료!J165</x:f>
        <x:v>0.2642027971986636</x:v>
      </x:c>
      <x:c r="H179" t="n">
        <x:f>원본자료!F179</x:f>
        <x:v>0.275</x:v>
      </x:c>
      <x:c r="I179" t="n">
        <x:f>원본자료!H179</x:f>
        <x:v>0.07562500000000001</x:v>
      </x:c>
    </x:row>
    <x:row r="180">
      <x:c r="A180" t="n">
        <x:f>원본자료!F166</x:f>
        <x:v>0.3</x:v>
      </x:c>
      <x:c r="B180" t="n">
        <x:f>원본자료!G166</x:f>
        <x:v>3.76</x:v>
      </x:c>
      <x:c r="C180" t="n">
        <x:f>원본자료!I166</x:f>
        <x:v>12.016201798201784</x:v>
      </x:c>
      <x:c r="D180" t="n">
        <x:f>원본자료!J166</x:f>
        <x:v>3.305892107887857</x:v>
      </x:c>
      <x:c r="H180" t="n">
        <x:f>원본자료!F180</x:f>
        <x:v>0.3</x:v>
      </x:c>
      <x:c r="I180" t="n">
        <x:f>원본자료!H180</x:f>
        <x:v>0.09</x:v>
      </x:c>
    </x:row>
    <x:row r="181">
      <x:c r="A181" t="n">
        <x:f>원본자료!F167</x:f>
        <x:v>0.325</x:v>
      </x:c>
      <x:c r="B181" t="n">
        <x:f>원본자료!G167</x:f>
        <x:v>5.57</x:v>
      </x:c>
      <x:c r="C181" t="n">
        <x:f>원본자료!I167</x:f>
        <x:v>15.057891108891098</x:v>
      </x:c>
      <x:c r="D181" t="n">
        <x:f>원본자료!J167</x:f>
        <x:v>7.4363701298663045</x:v>
      </x:c>
      <x:c r="H181" t="n">
        <x:f>원본자료!F181</x:f>
        <x:v>0.325</x:v>
      </x:c>
      <x:c r="I181" t="n">
        <x:f>원본자료!H181</x:f>
        <x:v>0.10562500000000001</x:v>
      </x:c>
    </x:row>
    <x:row r="182">
      <x:c r="A182" t="n">
        <x:f>원본자료!F168</x:f>
        <x:v>0.35</x:v>
      </x:c>
      <x:c r="B182" t="n">
        <x:f>원본자료!G168</x:f>
        <x:v>8.76</x:v>
      </x:c>
      <x:c r="C182" t="n">
        <x:f>원본자료!I168</x:f>
        <x:v>18.0995804195804</x:v>
      </x:c>
      <x:c r="D182" t="n">
        <x:f>원본자료!J168</x:f>
        <x:v>12.655636863133978</x:v>
      </x:c>
      <x:c r="H182" t="n">
        <x:f>원본자료!F182</x:f>
        <x:v>0.35</x:v>
      </x:c>
      <x:c r="I182" t="n">
        <x:f>원본자료!H182</x:f>
        <x:v>0.12249999999999998</x:v>
      </x:c>
    </x:row>
    <x:row r="183">
      <x:c r="A183" t="n">
        <x:f>원본자료!F169</x:f>
        <x:v>0.375</x:v>
      </x:c>
      <x:c r="B183" t="n">
        <x:f>원본자료!G169</x:f>
        <x:v>14.24</x:v>
      </x:c>
      <x:c r="C183" t="n">
        <x:f>원본자료!I169</x:f>
        <x:v>21.141269730269713</x:v>
      </x:c>
      <x:c r="D183" t="n">
        <x:f>원본자료!J169</x:f>
        <x:v>18.96369230769092</x:v>
      </x:c>
      <x:c r="H183" t="n">
        <x:f>원본자료!F183</x:f>
        <x:v>0.375</x:v>
      </x:c>
      <x:c r="I183" t="n">
        <x:f>원본자료!H183</x:f>
        <x:v>0.140625</x:v>
      </x:c>
    </x:row>
    <x:row r="184">
      <x:c r="A184" t="n">
        <x:f>원본자료!F170</x:f>
        <x:v>0.4</x:v>
      </x:c>
      <x:c r="B184" t="n">
        <x:f>원본자료!G170</x:f>
        <x:v>23.05</x:v>
      </x:c>
      <x:c r="C184" t="n">
        <x:f>원본자료!I170</x:f>
        <x:v>24.18295904095902</x:v>
      </x:c>
      <x:c r="D184" t="n">
        <x:f>원본자료!J170</x:f>
        <x:v>26.360536463537102</x:v>
      </x:c>
      <x:c r="H184" t="n">
        <x:f>원본자료!F184</x:f>
        <x:v>0.4</x:v>
      </x:c>
      <x:c r="I184" t="n">
        <x:f>원본자료!H184</x:f>
        <x:v>0.16000000000000003</x:v>
      </x:c>
    </x:row>
    <x:row r="185">
      <x:c r="A185" t="n">
        <x:f>원본자료!F171</x:f>
        <x:v>0.425</x:v>
      </x:c>
      <x:c r="B185" t="n">
        <x:f>원본자료!G171</x:f>
        <x:v>35.46</x:v>
      </x:c>
      <x:c r="C185" t="n">
        <x:f>원본자료!I171</x:f>
        <x:v>27.224648351648327</x:v>
      </x:c>
      <x:c r="D185" t="n">
        <x:f>원본자료!J171</x:f>
        <x:v>34.846169330672495</x:v>
      </x:c>
      <x:c r="H185" t="n">
        <x:f>원본자료!F185</x:f>
        <x:v>0.425</x:v>
      </x:c>
      <x:c r="I185" t="n">
        <x:f>원본자료!H185</x:f>
        <x:v>0.18062499999999998</x:v>
      </x:c>
    </x:row>
    <x:row r="186">
      <x:c r="A186" t="n">
        <x:f>원본자료!F172</x:f>
        <x:v>0.45</x:v>
      </x:c>
      <x:c r="B186" t="n">
        <x:f>원본자료!G172</x:f>
        <x:v>51.99</x:v>
      </x:c>
      <x:c r="C186" t="n">
        <x:f>원본자료!I172</x:f>
        <x:v>30.266337662337634</x:v>
      </x:c>
      <x:c r="D186" t="n">
        <x:f>원본자료!J172</x:f>
        <x:v>44.42059090909717</x:v>
      </x:c>
      <x:c r="H186" t="n">
        <x:f>원본자료!F186</x:f>
        <x:v>0.45</x:v>
      </x:c>
      <x:c r="I186" t="n">
        <x:f>원본자료!H186</x:f>
        <x:v>0.2025</x:v>
      </x:c>
    </x:row>
    <x:row r="187">
      <x:c r="A187" t="n">
        <x:f>원본자료!F173</x:f>
        <x:v>0.125</x:v>
      </x:c>
      <x:c r="B187" t="n">
        <x:f>원본자료!G173</x:f>
        <x:v>0.08</x:v>
      </x:c>
      <x:c r="C187" t="n">
        <x:f>원본자료!I173</x:f>
        <x:v>-9.275623376623363</x:v>
      </x:c>
      <x:c r="D187" t="n">
        <x:f>원본자료!J173</x:f>
        <x:v>4.878629870137585</x:v>
      </x:c>
      <x:c r="H187" t="n">
        <x:f>원본자료!F187</x:f>
        <x:v>0.125</x:v>
      </x:c>
      <x:c r="I187" t="n">
        <x:f>원본자료!H187</x:f>
        <x:v>0.015625</x:v>
      </x:c>
    </x:row>
    <x:row r="188">
      <x:c r="A188" t="n">
        <x:f>원본자료!F174</x:f>
        <x:v>0.15</x:v>
      </x:c>
      <x:c r="B188" t="n">
        <x:f>원본자료!G174</x:f>
        <x:v>0.24</x:v>
      </x:c>
      <x:c r="C188" t="n">
        <x:f>원본자료!I174</x:f>
        <x:v>-6.233934065934058</x:v>
      </x:c>
      <x:c r="D188" t="n">
        <x:f>원본자료!J174</x:f>
        <x:v>1.3875869130913223</x:v>
      </x:c>
      <x:c r="H188" t="n">
        <x:f>원본자료!F188</x:f>
        <x:v>0.15</x:v>
      </x:c>
      <x:c r="I188" t="n">
        <x:f>원본자료!H188</x:f>
        <x:v>0.0225</x:v>
      </x:c>
    </x:row>
    <x:row r="189">
      <x:c r="A189" t="n">
        <x:f>원본자료!F175</x:f>
        <x:v>0.175</x:v>
      </x:c>
      <x:c r="B189" t="n">
        <x:f>원본자료!G175</x:f>
        <x:v>0.45</x:v>
      </x:c>
      <x:c r="C189" t="n">
        <x:f>원본자료!I175</x:f>
        <x:v>-3.192244755244751</x:v>
      </x:c>
      <x:c r="D189" t="n">
        <x:f>원본자료!J175</x:f>
        <x:v>-1.0146673326656988</x:v>
      </x:c>
      <x:c r="H189" t="n">
        <x:f>원본자료!F189</x:f>
        <x:v>0.175</x:v>
      </x:c>
      <x:c r="I189" t="n">
        <x:f>원본자료!H189</x:f>
        <x:v>0.030624999999999996</x:v>
      </x:c>
    </x:row>
    <x:row r="190">
      <x:c r="A190" t="n">
        <x:f>원본자료!F176</x:f>
        <x:v>0.2</x:v>
      </x:c>
      <x:c r="B190" t="n">
        <x:f>원본자료!G176</x:f>
        <x:v>0.77</x:v>
      </x:c>
      <x:c r="C190" t="n">
        <x:f>원본자료!I176</x:f>
        <x:v>-0.15055544455544023</x:v>
      </x:c>
      <x:c r="D190" t="n">
        <x:f>원본자료!J176</x:f>
        <x:v>-2.3281328671334762</x:v>
      </x:c>
      <x:c r="H190" t="n">
        <x:f>원본자료!F190</x:f>
        <x:v>0.2</x:v>
      </x:c>
      <x:c r="I190" t="n">
        <x:f>원본자료!H190</x:f>
        <x:v>0.04000000000000001</x:v>
      </x:c>
    </x:row>
    <x:row r="191">
      <x:c r="A191" t="n">
        <x:f>원본자료!F177</x:f>
        <x:v>0.225</x:v>
      </x:c>
      <x:c r="B191" t="n">
        <x:f>원본자료!G177</x:f>
        <x:v>1.19</x:v>
      </x:c>
      <x:c r="C191" t="n">
        <x:f>원본자료!I177</x:f>
        <x:v>2.891133866133867</x:v>
      </x:c>
      <x:c r="D191" t="n">
        <x:f>원본자료!J177</x:f>
        <x:v>-2.55280969031201</x:v>
      </x:c>
      <x:c r="H191" t="n">
        <x:f>원본자료!F191</x:f>
        <x:v>0.225</x:v>
      </x:c>
      <x:c r="I191" t="n">
        <x:f>원본자료!H191</x:f>
        <x:v>0.050625</x:v>
      </x:c>
    </x:row>
    <x:row r="192">
      <x:c r="A192" t="n">
        <x:f>원본자료!F178</x:f>
        <x:v>0.25</x:v>
      </x:c>
      <x:c r="B192" t="n">
        <x:f>원본자료!G178</x:f>
        <x:v>1.76</x:v>
      </x:c>
      <x:c r="C192" t="n">
        <x:f>원본자료!I178</x:f>
        <x:v>5.932823176823174</x:v>
      </x:c>
      <x:c r="D192" t="n">
        <x:f>원본자료!J178</x:f>
        <x:v>-1.6886978022012968</x:v>
      </x:c>
      <x:c r="H192" t="n">
        <x:f>원본자료!F192</x:f>
        <x:v>0.25</x:v>
      </x:c>
      <x:c r="I192" t="n">
        <x:f>원본자료!H192</x:f>
        <x:v>0.0625</x:v>
      </x:c>
    </x:row>
    <x:row r="193">
      <x:c r="A193" t="n">
        <x:f>원본자료!F179</x:f>
        <x:v>0.275</x:v>
      </x:c>
      <x:c r="B193" t="n">
        <x:f>원본자료!G179</x:f>
        <x:v>2.59</x:v>
      </x:c>
      <x:c r="C193" t="n">
        <x:f>원본자료!I179</x:f>
        <x:v>8.974512487512484</x:v>
      </x:c>
      <x:c r="D193" t="n">
        <x:f>원본자료!J179</x:f>
        <x:v>0.2642027971986636</x:v>
      </x:c>
      <x:c r="H193" t="n">
        <x:f>원본자료!F193</x:f>
        <x:v>0.275</x:v>
      </x:c>
      <x:c r="I193" t="n">
        <x:f>원본자료!H193</x:f>
        <x:v>0.07562500000000001</x:v>
      </x:c>
    </x:row>
    <x:row r="194">
      <x:c r="A194" t="n">
        <x:f>원본자료!F180</x:f>
        <x:v>0.3</x:v>
      </x:c>
      <x:c r="B194" t="n">
        <x:f>원본자료!G180</x:f>
        <x:v>3.85</x:v>
      </x:c>
      <x:c r="C194" t="n">
        <x:f>원본자료!I180</x:f>
        <x:v>12.016201798201784</x:v>
      </x:c>
      <x:c r="D194" t="n">
        <x:f>원본자료!J180</x:f>
        <x:v>3.305892107887857</x:v>
      </x:c>
      <x:c r="H194" t="n">
        <x:f>원본자료!F194</x:f>
        <x:v>0.3</x:v>
      </x:c>
      <x:c r="I194" t="n">
        <x:f>원본자료!H194</x:f>
        <x:v>0.09</x:v>
      </x:c>
    </x:row>
    <x:row r="195">
      <x:c r="A195" t="n">
        <x:f>원본자료!F181</x:f>
        <x:v>0.325</x:v>
      </x:c>
      <x:c r="B195" t="n">
        <x:f>원본자료!G181</x:f>
        <x:v>5.27</x:v>
      </x:c>
      <x:c r="C195" t="n">
        <x:f>원본자료!I181</x:f>
        <x:v>15.057891108891098</x:v>
      </x:c>
      <x:c r="D195" t="n">
        <x:f>원본자료!J181</x:f>
        <x:v>7.4363701298663045</x:v>
      </x:c>
      <x:c r="H195" t="n">
        <x:f>원본자료!F195</x:f>
        <x:v>0.325</x:v>
      </x:c>
      <x:c r="I195" t="n">
        <x:f>원본자료!H195</x:f>
        <x:v>0.10562500000000001</x:v>
      </x:c>
    </x:row>
    <x:row r="196">
      <x:c r="A196" t="n">
        <x:f>원본자료!F182</x:f>
        <x:v>0.35</x:v>
      </x:c>
      <x:c r="B196" t="n">
        <x:f>원본자료!G182</x:f>
        <x:v>7.74</x:v>
      </x:c>
      <x:c r="C196" t="n">
        <x:f>원본자료!I182</x:f>
        <x:v>18.0995804195804</x:v>
      </x:c>
      <x:c r="D196" t="n">
        <x:f>원본자료!J182</x:f>
        <x:v>12.655636863133978</x:v>
      </x:c>
      <x:c r="H196" t="n">
        <x:f>원본자료!F196</x:f>
        <x:v>0.35</x:v>
      </x:c>
      <x:c r="I196" t="n">
        <x:f>원본자료!H196</x:f>
        <x:v>0.12249999999999998</x:v>
      </x:c>
    </x:row>
    <x:row r="197">
      <x:c r="A197" t="n">
        <x:f>원본자료!F183</x:f>
        <x:v>0.375</x:v>
      </x:c>
      <x:c r="B197" t="n">
        <x:f>원본자료!G183</x:f>
        <x:v>12.4</x:v>
      </x:c>
      <x:c r="C197" t="n">
        <x:f>원본자료!I183</x:f>
        <x:v>21.141269730269713</x:v>
      </x:c>
      <x:c r="D197" t="n">
        <x:f>원본자료!J183</x:f>
        <x:v>18.96369230769092</x:v>
      </x:c>
      <x:c r="H197" t="n">
        <x:f>원본자료!F197</x:f>
        <x:v>0.375</x:v>
      </x:c>
      <x:c r="I197" t="n">
        <x:f>원본자료!H197</x:f>
        <x:v>0.140625</x:v>
      </x:c>
    </x:row>
    <x:row r="198">
      <x:c r="A198" t="n">
        <x:f>원본자료!F184</x:f>
        <x:v>0.4</x:v>
      </x:c>
      <x:c r="B198" t="n">
        <x:f>원본자료!G184</x:f>
        <x:v>20.91</x:v>
      </x:c>
      <x:c r="C198" t="n">
        <x:f>원본자료!I184</x:f>
        <x:v>24.18295904095902</x:v>
      </x:c>
      <x:c r="D198" t="n">
        <x:f>원본자료!J184</x:f>
        <x:v>26.360536463537102</x:v>
      </x:c>
      <x:c r="H198" t="n">
        <x:f>원본자료!F198</x:f>
        <x:v>0.4</x:v>
      </x:c>
      <x:c r="I198" t="n">
        <x:f>원본자료!H198</x:f>
        <x:v>0.16000000000000003</x:v>
      </x:c>
    </x:row>
    <x:row r="199">
      <x:c r="A199" t="n">
        <x:f>원본자료!F185</x:f>
        <x:v>0.425</x:v>
      </x:c>
      <x:c r="B199" t="n">
        <x:f>원본자료!G185</x:f>
        <x:v>33.23</x:v>
      </x:c>
      <x:c r="C199" t="n">
        <x:f>원본자료!I185</x:f>
        <x:v>27.224648351648327</x:v>
      </x:c>
      <x:c r="D199" t="n">
        <x:f>원본자료!J185</x:f>
        <x:v>34.846169330672495</x:v>
      </x:c>
      <x:c r="H199" t="n">
        <x:f>원본자료!F199</x:f>
        <x:v>0.425</x:v>
      </x:c>
      <x:c r="I199" t="n">
        <x:f>원본자료!H199</x:f>
        <x:v>0.18062499999999998</x:v>
      </x:c>
    </x:row>
    <x:row r="200">
      <x:c r="A200" t="n">
        <x:f>원본자료!F186</x:f>
        <x:v>0.45</x:v>
      </x:c>
      <x:c r="B200" t="n">
        <x:f>원본자료!G186</x:f>
        <x:v>49.14</x:v>
      </x:c>
      <x:c r="C200" t="n">
        <x:f>원본자료!I186</x:f>
        <x:v>30.266337662337634</x:v>
      </x:c>
      <x:c r="D200" t="n">
        <x:f>원본자료!J186</x:f>
        <x:v>44.42059090909717</x:v>
      </x:c>
      <x:c r="H200" t="n">
        <x:f>원본자료!F200</x:f>
        <x:v>0.45</x:v>
      </x:c>
      <x:c r="I200" t="n">
        <x:f>원본자료!H200</x:f>
        <x:v>0.2025</x:v>
      </x:c>
    </x:row>
    <x:row r="201">
      <x:c r="A201" t="n">
        <x:f>원본자료!F187</x:f>
        <x:v>0.125</x:v>
      </x:c>
      <x:c r="B201" t="n">
        <x:f>원본자료!G187</x:f>
        <x:v>0.08</x:v>
      </x:c>
      <x:c r="C201" t="n">
        <x:f>원본자료!I187</x:f>
        <x:v>-9.275623376623363</x:v>
      </x:c>
      <x:c r="D201" t="n">
        <x:f>원본자료!J187</x:f>
        <x:v>4.878629870137585</x:v>
      </x:c>
      <x:c r="H201" t="n">
        <x:f>원본자료!F201</x:f>
        <x:v>0.125</x:v>
      </x:c>
      <x:c r="I201" t="n">
        <x:f>원본자료!H201</x:f>
        <x:v>0.015625</x:v>
      </x:c>
    </x:row>
    <x:row r="202">
      <x:c r="A202" t="n">
        <x:f>원본자료!F188</x:f>
        <x:v>0.15</x:v>
      </x:c>
      <x:c r="B202" t="n">
        <x:f>원본자료!G188</x:f>
        <x:v>0.25</x:v>
      </x:c>
      <x:c r="C202" t="n">
        <x:f>원본자료!I188</x:f>
        <x:v>-6.233934065934058</x:v>
      </x:c>
      <x:c r="D202" t="n">
        <x:f>원본자료!J188</x:f>
        <x:v>1.3875869130913223</x:v>
      </x:c>
      <x:c r="H202" t="n">
        <x:f>원본자료!F202</x:f>
        <x:v>0.15</x:v>
      </x:c>
      <x:c r="I202" t="n">
        <x:f>원본자료!H202</x:f>
        <x:v>0.0225</x:v>
      </x:c>
    </x:row>
    <x:row r="203">
      <x:c r="A203" t="n">
        <x:f>원본자료!F189</x:f>
        <x:v>0.175</x:v>
      </x:c>
      <x:c r="B203" t="n">
        <x:f>원본자료!G189</x:f>
        <x:v>0.46</x:v>
      </x:c>
      <x:c r="C203" t="n">
        <x:f>원본자료!I189</x:f>
        <x:v>-3.192244755244751</x:v>
      </x:c>
      <x:c r="D203" t="n">
        <x:f>원본자료!J189</x:f>
        <x:v>-1.0146673326656988</x:v>
      </x:c>
      <x:c r="H203" t="n">
        <x:f>원본자료!F203</x:f>
        <x:v>0.175</x:v>
      </x:c>
      <x:c r="I203" t="n">
        <x:f>원본자료!H203</x:f>
        <x:v>0.030624999999999996</x:v>
      </x:c>
    </x:row>
    <x:row r="204">
      <x:c r="A204" t="n">
        <x:f>원본자료!F190</x:f>
        <x:v>0.2</x:v>
      </x:c>
      <x:c r="B204" t="n">
        <x:f>원본자료!G190</x:f>
        <x:v>0.75</x:v>
      </x:c>
      <x:c r="C204" t="n">
        <x:f>원본자료!I190</x:f>
        <x:v>-0.15055544455544023</x:v>
      </x:c>
      <x:c r="D204" t="n">
        <x:f>원본자료!J190</x:f>
        <x:v>-2.3281328671334762</x:v>
      </x:c>
      <x:c r="H204" t="n">
        <x:f>원본자료!F204</x:f>
        <x:v>0.2</x:v>
      </x:c>
      <x:c r="I204" t="n">
        <x:f>원본자료!H204</x:f>
        <x:v>0.04000000000000001</x:v>
      </x:c>
    </x:row>
    <x:row r="205">
      <x:c r="A205" t="n">
        <x:f>원본자료!F191</x:f>
        <x:v>0.225</x:v>
      </x:c>
      <x:c r="B205" t="n">
        <x:f>원본자료!G191</x:f>
        <x:v>1.11</x:v>
      </x:c>
      <x:c r="C205" t="n">
        <x:f>원본자료!I191</x:f>
        <x:v>2.891133866133867</x:v>
      </x:c>
      <x:c r="D205" t="n">
        <x:f>원본자료!J191</x:f>
        <x:v>-2.55280969031201</x:v>
      </x:c>
      <x:c r="H205" t="n">
        <x:f>원본자료!F205</x:f>
        <x:v>0.225</x:v>
      </x:c>
      <x:c r="I205" t="n">
        <x:f>원본자료!H205</x:f>
        <x:v>0.050625</x:v>
      </x:c>
    </x:row>
    <x:row r="206">
      <x:c r="A206" t="n">
        <x:f>원본자료!F192</x:f>
        <x:v>0.25</x:v>
      </x:c>
      <x:c r="B206" t="n">
        <x:f>원본자료!G192</x:f>
        <x:v>1.57</x:v>
      </x:c>
      <x:c r="C206" t="n">
        <x:f>원본자료!I192</x:f>
        <x:v>5.932823176823174</x:v>
      </x:c>
      <x:c r="D206" t="n">
        <x:f>원본자료!J192</x:f>
        <x:v>-1.6886978022012968</x:v>
      </x:c>
      <x:c r="H206" t="n">
        <x:f>원본자료!F206</x:f>
        <x:v>0.25</x:v>
      </x:c>
      <x:c r="I206" t="n">
        <x:f>원본자료!H206</x:f>
        <x:v>0.0625</x:v>
      </x:c>
    </x:row>
    <x:row r="207">
      <x:c r="A207" t="n">
        <x:f>원본자료!F193</x:f>
        <x:v>0.275</x:v>
      </x:c>
      <x:c r="B207" t="n">
        <x:f>원본자료!G193</x:f>
        <x:v>2.17</x:v>
      </x:c>
      <x:c r="C207" t="n">
        <x:f>원본자료!I193</x:f>
        <x:v>8.974512487512484</x:v>
      </x:c>
      <x:c r="D207" t="n">
        <x:f>원본자료!J193</x:f>
        <x:v>0.2642027971986636</x:v>
      </x:c>
      <x:c r="H207" t="n">
        <x:f>원본자료!F207</x:f>
        <x:v>0.275</x:v>
      </x:c>
      <x:c r="I207" t="n">
        <x:f>원본자료!H207</x:f>
        <x:v>0.07562500000000001</x:v>
      </x:c>
    </x:row>
    <x:row r="208">
      <x:c r="A208" t="n">
        <x:f>원본자료!F194</x:f>
        <x:v>0.3</x:v>
      </x:c>
      <x:c r="B208" t="n">
        <x:f>원본자료!G194</x:f>
        <x:v>2.98</x:v>
      </x:c>
      <x:c r="C208" t="n">
        <x:f>원본자료!I194</x:f>
        <x:v>12.016201798201784</x:v>
      </x:c>
      <x:c r="D208" t="n">
        <x:f>원본자료!J194</x:f>
        <x:v>3.305892107887857</x:v>
      </x:c>
      <x:c r="H208" t="n">
        <x:f>원본자료!F208</x:f>
        <x:v>0.3</x:v>
      </x:c>
      <x:c r="I208" t="n">
        <x:f>원본자료!H208</x:f>
        <x:v>0.09</x:v>
      </x:c>
    </x:row>
    <x:row r="209">
      <x:c r="A209" t="n">
        <x:f>원본자료!F195</x:f>
        <x:v>0.325</x:v>
      </x:c>
      <x:c r="B209" t="n">
        <x:f>원본자료!G195</x:f>
        <x:v>4.42</x:v>
      </x:c>
      <x:c r="C209" t="n">
        <x:f>원본자료!I195</x:f>
        <x:v>15.057891108891098</x:v>
      </x:c>
      <x:c r="D209" t="n">
        <x:f>원본자료!J195</x:f>
        <x:v>7.4363701298663045</x:v>
      </x:c>
      <x:c r="H209" t="n">
        <x:f>원본자료!F209</x:f>
        <x:v>0.325</x:v>
      </x:c>
      <x:c r="I209" t="n">
        <x:f>원본자료!H209</x:f>
        <x:v>0.10562500000000001</x:v>
      </x:c>
    </x:row>
    <x:row r="210">
      <x:c r="A210" t="n">
        <x:f>원본자료!F196</x:f>
        <x:v>0.35</x:v>
      </x:c>
      <x:c r="B210" t="n">
        <x:f>원본자료!G196</x:f>
        <x:v>7.84</x:v>
      </x:c>
      <x:c r="C210" t="n">
        <x:f>원본자료!I196</x:f>
        <x:v>18.0995804195804</x:v>
      </x:c>
      <x:c r="D210" t="n">
        <x:f>원본자료!J196</x:f>
        <x:v>12.655636863133978</x:v>
      </x:c>
      <x:c r="H210" t="n">
        <x:f>원본자료!F210</x:f>
        <x:v>0.35</x:v>
      </x:c>
      <x:c r="I210" t="n">
        <x:f>원본자료!H210</x:f>
        <x:v>0.12249999999999998</x:v>
      </x:c>
    </x:row>
    <x:row r="211">
      <x:c r="A211" t="n">
        <x:f>원본자료!F197</x:f>
        <x:v>0.375</x:v>
      </x:c>
      <x:c r="B211" t="n">
        <x:f>원본자료!G197</x:f>
        <x:v>14.11</x:v>
      </x:c>
      <x:c r="C211" t="n">
        <x:f>원본자료!I197</x:f>
        <x:v>21.141269730269713</x:v>
      </x:c>
      <x:c r="D211" t="n">
        <x:f>원본자료!J197</x:f>
        <x:v>18.96369230769092</x:v>
      </x:c>
      <x:c r="H211" t="n">
        <x:f>원본자료!F211</x:f>
        <x:v>0.375</x:v>
      </x:c>
      <x:c r="I211" t="n">
        <x:f>원본자료!H211</x:f>
        <x:v>0.140625</x:v>
      </x:c>
    </x:row>
    <x:row r="212">
      <x:c r="A212" t="n">
        <x:f>원본자료!F198</x:f>
        <x:v>0.4</x:v>
      </x:c>
      <x:c r="B212" t="n">
        <x:f>원본자료!G198</x:f>
        <x:v>24.14</x:v>
      </x:c>
      <x:c r="C212" t="n">
        <x:f>원본자료!I198</x:f>
        <x:v>24.18295904095902</x:v>
      </x:c>
      <x:c r="D212" t="n">
        <x:f>원본자료!J198</x:f>
        <x:v>26.360536463537102</x:v>
      </x:c>
      <x:c r="H212" t="n">
        <x:f>원본자료!F212</x:f>
        <x:v>0.4</x:v>
      </x:c>
      <x:c r="I212" t="n">
        <x:f>원본자료!H212</x:f>
        <x:v>0.16000000000000003</x:v>
      </x:c>
    </x:row>
    <x:row r="213">
      <x:c r="A213" t="n">
        <x:f>원본자료!F199</x:f>
        <x:v>0.425</x:v>
      </x:c>
      <x:c r="B213" t="n">
        <x:f>원본자료!G199</x:f>
        <x:v>37.95</x:v>
      </x:c>
      <x:c r="C213" t="n">
        <x:f>원본자료!I199</x:f>
        <x:v>27.224648351648327</x:v>
      </x:c>
      <x:c r="D213" t="n">
        <x:f>원본자료!J199</x:f>
        <x:v>34.846169330672495</x:v>
      </x:c>
      <x:c r="H213" t="n">
        <x:f>원본자료!F213</x:f>
        <x:v>0.425</x:v>
      </x:c>
      <x:c r="I213" t="n">
        <x:f>원본자료!H213</x:f>
        <x:v>0.18062499999999998</x:v>
      </x:c>
    </x:row>
    <x:row r="214">
      <x:c r="A214" t="n">
        <x:f>원본자료!F200</x:f>
        <x:v>0.45</x:v>
      </x:c>
      <x:c r="B214" t="n">
        <x:f>원본자료!G200</x:f>
        <x:v>55.17</x:v>
      </x:c>
      <x:c r="C214" t="n">
        <x:f>원본자료!I200</x:f>
        <x:v>30.266337662337634</x:v>
      </x:c>
      <x:c r="D214" t="n">
        <x:f>원본자료!J200</x:f>
        <x:v>44.42059090909717</x:v>
      </x:c>
      <x:c r="H214" t="n">
        <x:f>원본자료!F214</x:f>
        <x:v>0.45</x:v>
      </x:c>
      <x:c r="I214" t="n">
        <x:f>원본자료!H214</x:f>
        <x:v>0.2025</x:v>
      </x:c>
    </x:row>
    <x:row r="215">
      <x:c r="A215" t="n">
        <x:f>원본자료!F201</x:f>
        <x:v>0.125</x:v>
      </x:c>
      <x:c r="B215" t="n">
        <x:f>원본자료!G201</x:f>
        <x:v>0.1</x:v>
      </x:c>
      <x:c r="C215" t="n">
        <x:f>원본자료!I201</x:f>
        <x:v>-9.275623376623363</x:v>
      </x:c>
      <x:c r="D215" t="n">
        <x:f>원본자료!J201</x:f>
        <x:v>4.878629870137585</x:v>
      </x:c>
      <x:c r="H215" t="n">
        <x:f>원본자료!F215</x:f>
        <x:v>0.125</x:v>
      </x:c>
      <x:c r="I215" t="n">
        <x:f>원본자료!H215</x:f>
        <x:v>0.015625</x:v>
      </x:c>
    </x:row>
    <x:row r="216">
      <x:c r="A216" t="n">
        <x:f>원본자료!F202</x:f>
        <x:v>0.15</x:v>
      </x:c>
      <x:c r="B216" t="n">
        <x:f>원본자료!G202</x:f>
        <x:v>0.23</x:v>
      </x:c>
      <x:c r="C216" t="n">
        <x:f>원본자료!I202</x:f>
        <x:v>-6.233934065934058</x:v>
      </x:c>
      <x:c r="D216" t="n">
        <x:f>원본자료!J202</x:f>
        <x:v>1.3875869130913223</x:v>
      </x:c>
      <x:c r="H216" t="n">
        <x:f>원본자료!F216</x:f>
        <x:v>0.15</x:v>
      </x:c>
      <x:c r="I216" t="n">
        <x:f>원본자료!H216</x:f>
        <x:v>0.0225</x:v>
      </x:c>
    </x:row>
    <x:row r="217">
      <x:c r="A217" t="n">
        <x:f>원본자료!F203</x:f>
        <x:v>0.175</x:v>
      </x:c>
      <x:c r="B217" t="n">
        <x:f>원본자료!G203</x:f>
        <x:v>0.47</x:v>
      </x:c>
      <x:c r="C217" t="n">
        <x:f>원본자료!I203</x:f>
        <x:v>-3.192244755244751</x:v>
      </x:c>
      <x:c r="D217" t="n">
        <x:f>원본자료!J203</x:f>
        <x:v>-1.0146673326656988</x:v>
      </x:c>
      <x:c r="H217" t="n">
        <x:f>원본자료!F217</x:f>
        <x:v>0.175</x:v>
      </x:c>
      <x:c r="I217" t="n">
        <x:f>원본자료!H217</x:f>
        <x:v>0.030624999999999996</x:v>
      </x:c>
    </x:row>
    <x:row r="218">
      <x:c r="A218" t="n">
        <x:f>원본자료!F204</x:f>
        <x:v>0.2</x:v>
      </x:c>
      <x:c r="B218" t="n">
        <x:f>원본자료!G204</x:f>
        <x:v>0.76</x:v>
      </x:c>
      <x:c r="C218" t="n">
        <x:f>원본자료!I204</x:f>
        <x:v>-0.15055544455544023</x:v>
      </x:c>
      <x:c r="D218" t="n">
        <x:f>원본자료!J204</x:f>
        <x:v>-2.3281328671334762</x:v>
      </x:c>
      <x:c r="H218" t="n">
        <x:f>원본자료!F218</x:f>
        <x:v>0.2</x:v>
      </x:c>
      <x:c r="I218" t="n">
        <x:f>원본자료!H218</x:f>
        <x:v>0.04000000000000001</x:v>
      </x:c>
    </x:row>
    <x:row r="219">
      <x:c r="A219" t="n">
        <x:f>원본자료!F205</x:f>
        <x:v>0.225</x:v>
      </x:c>
      <x:c r="B219" t="n">
        <x:f>원본자료!G205</x:f>
        <x:v>1.15</x:v>
      </x:c>
      <x:c r="C219" t="n">
        <x:f>원본자료!I205</x:f>
        <x:v>2.891133866133867</x:v>
      </x:c>
      <x:c r="D219" t="n">
        <x:f>원본자료!J205</x:f>
        <x:v>-2.55280969031201</x:v>
      </x:c>
      <x:c r="H219" t="n">
        <x:f>원본자료!F219</x:f>
        <x:v>0.225</x:v>
      </x:c>
      <x:c r="I219" t="n">
        <x:f>원본자료!H219</x:f>
        <x:v>0.050625</x:v>
      </x:c>
    </x:row>
    <x:row r="220">
      <x:c r="A220" t="n">
        <x:f>원본자료!F206</x:f>
        <x:v>0.25</x:v>
      </x:c>
      <x:c r="B220" t="n">
        <x:f>원본자료!G206</x:f>
        <x:v>1.65</x:v>
      </x:c>
      <x:c r="C220" t="n">
        <x:f>원본자료!I206</x:f>
        <x:v>5.932823176823174</x:v>
      </x:c>
      <x:c r="D220" t="n">
        <x:f>원본자료!J206</x:f>
        <x:v>-1.6886978022012968</x:v>
      </x:c>
      <x:c r="H220" t="n">
        <x:f>원본자료!F220</x:f>
        <x:v>0.25</x:v>
      </x:c>
      <x:c r="I220" t="n">
        <x:f>원본자료!H220</x:f>
        <x:v>0.0625</x:v>
      </x:c>
    </x:row>
    <x:row r="221">
      <x:c r="A221" t="n">
        <x:f>원본자료!F207</x:f>
        <x:v>0.275</x:v>
      </x:c>
      <x:c r="B221" t="n">
        <x:f>원본자료!G207</x:f>
        <x:v>2.28</x:v>
      </x:c>
      <x:c r="C221" t="n">
        <x:f>원본자료!I207</x:f>
        <x:v>8.974512487512484</x:v>
      </x:c>
      <x:c r="D221" t="n">
        <x:f>원본자료!J207</x:f>
        <x:v>0.2642027971986636</x:v>
      </x:c>
      <x:c r="H221" t="n">
        <x:f>원본자료!F221</x:f>
        <x:v>0.275</x:v>
      </x:c>
      <x:c r="I221" t="n">
        <x:f>원본자료!H221</x:f>
        <x:v>0.07562500000000001</x:v>
      </x:c>
    </x:row>
    <x:row r="222">
      <x:c r="A222" t="n">
        <x:f>원본자료!F208</x:f>
        <x:v>0.3</x:v>
      </x:c>
      <x:c r="B222" t="n">
        <x:f>원본자료!G208</x:f>
        <x:v>3.09</x:v>
      </x:c>
      <x:c r="C222" t="n">
        <x:f>원본자료!I208</x:f>
        <x:v>12.016201798201784</x:v>
      </x:c>
      <x:c r="D222" t="n">
        <x:f>원본자료!J208</x:f>
        <x:v>3.305892107887857</x:v>
      </x:c>
      <x:c r="H222" t="n">
        <x:f>원본자료!F222</x:f>
        <x:v>0.3</x:v>
      </x:c>
      <x:c r="I222" t="n">
        <x:f>원본자료!H222</x:f>
        <x:v>0.09</x:v>
      </x:c>
    </x:row>
    <x:row r="223">
      <x:c r="A223" t="n">
        <x:f>원본자료!F209</x:f>
        <x:v>0.325</x:v>
      </x:c>
      <x:c r="B223" t="n">
        <x:f>원본자료!G209</x:f>
        <x:v>4.41</x:v>
      </x:c>
      <x:c r="C223" t="n">
        <x:f>원본자료!I209</x:f>
        <x:v>15.057891108891098</x:v>
      </x:c>
      <x:c r="D223" t="n">
        <x:f>원본자료!J209</x:f>
        <x:v>7.4363701298663045</x:v>
      </x:c>
      <x:c r="H223" t="n">
        <x:f>원본자료!F223</x:f>
        <x:v>0.325</x:v>
      </x:c>
      <x:c r="I223" t="n">
        <x:f>원본자료!H223</x:f>
        <x:v>0.10562500000000001</x:v>
      </x:c>
    </x:row>
    <x:row r="224">
      <x:c r="A224" t="n">
        <x:f>원본자료!F210</x:f>
        <x:v>0.35</x:v>
      </x:c>
      <x:c r="B224" t="n">
        <x:f>원본자료!G210</x:f>
        <x:v>7.51</x:v>
      </x:c>
      <x:c r="C224" t="n">
        <x:f>원본자료!I210</x:f>
        <x:v>18.0995804195804</x:v>
      </x:c>
      <x:c r="D224" t="n">
        <x:f>원본자료!J210</x:f>
        <x:v>12.655636863133978</x:v>
      </x:c>
      <x:c r="H224" t="n">
        <x:f>원본자료!F224</x:f>
        <x:v>0.35</x:v>
      </x:c>
      <x:c r="I224" t="n">
        <x:f>원본자료!H224</x:f>
        <x:v>0.12249999999999998</x:v>
      </x:c>
    </x:row>
    <x:row r="225">
      <x:c r="A225" t="n">
        <x:f>원본자료!F211</x:f>
        <x:v>0.375</x:v>
      </x:c>
      <x:c r="B225" t="n">
        <x:f>원본자료!G211</x:f>
        <x:v>13.77</x:v>
      </x:c>
      <x:c r="C225" t="n">
        <x:f>원본자료!I211</x:f>
        <x:v>21.141269730269713</x:v>
      </x:c>
      <x:c r="D225" t="n">
        <x:f>원본자료!J211</x:f>
        <x:v>18.96369230769092</x:v>
      </x:c>
      <x:c r="H225" t="n">
        <x:f>원본자료!F225</x:f>
        <x:v>0.375</x:v>
      </x:c>
      <x:c r="I225" t="n">
        <x:f>원본자료!H225</x:f>
        <x:v>0.140625</x:v>
      </x:c>
    </x:row>
    <x:row r="226">
      <x:c r="A226" t="n">
        <x:f>원본자료!F212</x:f>
        <x:v>0.4</x:v>
      </x:c>
      <x:c r="B226" t="n">
        <x:f>원본자료!G212</x:f>
        <x:v>23.96</x:v>
      </x:c>
      <x:c r="C226" t="n">
        <x:f>원본자료!I212</x:f>
        <x:v>24.18295904095902</x:v>
      </x:c>
      <x:c r="D226" t="n">
        <x:f>원본자료!J212</x:f>
        <x:v>26.360536463537102</x:v>
      </x:c>
      <x:c r="H226" t="n">
        <x:f>원본자료!F226</x:f>
        <x:v>0.4</x:v>
      </x:c>
      <x:c r="I226" t="n">
        <x:f>원본자료!H226</x:f>
        <x:v>0.16000000000000003</x:v>
      </x:c>
    </x:row>
    <x:row r="227">
      <x:c r="A227" t="n">
        <x:f>원본자료!F213</x:f>
        <x:v>0.425</x:v>
      </x:c>
      <x:c r="B227" t="n">
        <x:f>원본자료!G213</x:f>
        <x:v>37.38</x:v>
      </x:c>
      <x:c r="C227" t="n">
        <x:f>원본자료!I213</x:f>
        <x:v>27.224648351648327</x:v>
      </x:c>
      <x:c r="D227" t="n">
        <x:f>원본자료!J213</x:f>
        <x:v>34.846169330672495</x:v>
      </x:c>
      <x:c r="H227" t="n">
        <x:f>원본자료!F227</x:f>
        <x:v>0.425</x:v>
      </x:c>
      <x:c r="I227" t="n">
        <x:f>원본자료!H227</x:f>
        <x:v>0.18062499999999998</x:v>
      </x:c>
    </x:row>
    <x:row r="228">
      <x:c r="A228" t="n">
        <x:f>원본자료!F214</x:f>
        <x:v>0.45</x:v>
      </x:c>
      <x:c r="B228" t="n">
        <x:f>원본자료!G214</x:f>
        <x:v>56.46</x:v>
      </x:c>
      <x:c r="C228" t="n">
        <x:f>원본자료!I214</x:f>
        <x:v>30.266337662337634</x:v>
      </x:c>
      <x:c r="D228" t="n">
        <x:f>원본자료!J214</x:f>
        <x:v>44.42059090909717</x:v>
      </x:c>
      <x:c r="H228" t="n">
        <x:f>원본자료!F228</x:f>
        <x:v>0.45</x:v>
      </x:c>
      <x:c r="I228" t="n">
        <x:f>원본자료!H228</x:f>
        <x:v>0.2025</x:v>
      </x:c>
    </x:row>
    <x:row r="229">
      <x:c r="A229" t="n">
        <x:f>원본자료!F215</x:f>
        <x:v>0.125</x:v>
      </x:c>
      <x:c r="B229" t="n">
        <x:f>원본자료!G215</x:f>
        <x:v>0.05</x:v>
      </x:c>
      <x:c r="C229" t="n">
        <x:f>원본자료!I215</x:f>
        <x:v>-9.275623376623363</x:v>
      </x:c>
      <x:c r="D229" t="n">
        <x:f>원본자료!J215</x:f>
        <x:v>4.878629870137585</x:v>
      </x:c>
      <x:c r="H229" t="n">
        <x:f>원본자료!F229</x:f>
        <x:v>0.125</x:v>
      </x:c>
      <x:c r="I229" t="n">
        <x:f>원본자료!H229</x:f>
        <x:v>0.015625</x:v>
      </x:c>
    </x:row>
    <x:row r="230">
      <x:c r="A230" t="n">
        <x:f>원본자료!F216</x:f>
        <x:v>0.15</x:v>
      </x:c>
      <x:c r="B230" t="n">
        <x:f>원본자료!G216</x:f>
        <x:v>0.17</x:v>
      </x:c>
      <x:c r="C230" t="n">
        <x:f>원본자료!I216</x:f>
        <x:v>-6.233934065934058</x:v>
      </x:c>
      <x:c r="D230" t="n">
        <x:f>원본자료!J216</x:f>
        <x:v>1.3875869130913223</x:v>
      </x:c>
      <x:c r="H230" t="n">
        <x:f>원본자료!F230</x:f>
        <x:v>0.15</x:v>
      </x:c>
      <x:c r="I230" t="n">
        <x:f>원본자료!H230</x:f>
        <x:v>0.0225</x:v>
      </x:c>
    </x:row>
    <x:row r="231">
      <x:c r="A231" t="n">
        <x:f>원본자료!F217</x:f>
        <x:v>0.175</x:v>
      </x:c>
      <x:c r="B231" t="n">
        <x:f>원본자료!G217</x:f>
        <x:v>0.35</x:v>
      </x:c>
      <x:c r="C231" t="n">
        <x:f>원본자료!I217</x:f>
        <x:v>-3.192244755244751</x:v>
      </x:c>
      <x:c r="D231" t="n">
        <x:f>원본자료!J217</x:f>
        <x:v>-1.0146673326656988</x:v>
      </x:c>
      <x:c r="H231" t="n">
        <x:f>원본자료!F231</x:f>
        <x:v>0.175</x:v>
      </x:c>
      <x:c r="I231" t="n">
        <x:f>원본자료!H231</x:f>
        <x:v>0.030624999999999996</x:v>
      </x:c>
    </x:row>
    <x:row r="232">
      <x:c r="A232" t="n">
        <x:f>원본자료!F218</x:f>
        <x:v>0.2</x:v>
      </x:c>
      <x:c r="B232" t="n">
        <x:f>원본자료!G218</x:f>
        <x:v>0.63</x:v>
      </x:c>
      <x:c r="C232" t="n">
        <x:f>원본자료!I218</x:f>
        <x:v>-0.15055544455544023</x:v>
      </x:c>
      <x:c r="D232" t="n">
        <x:f>원본자료!J218</x:f>
        <x:v>-2.3281328671334762</x:v>
      </x:c>
      <x:c r="H232" t="n">
        <x:f>원본자료!F232</x:f>
        <x:v>0.2</x:v>
      </x:c>
      <x:c r="I232" t="n">
        <x:f>원본자료!H232</x:f>
        <x:v>0.04000000000000001</x:v>
      </x:c>
    </x:row>
    <x:row r="233">
      <x:c r="A233" t="n">
        <x:f>원본자료!F219</x:f>
        <x:v>0.225</x:v>
      </x:c>
      <x:c r="B233" t="n">
        <x:f>원본자료!G219</x:f>
        <x:v>1.01</x:v>
      </x:c>
      <x:c r="C233" t="n">
        <x:f>원본자료!I219</x:f>
        <x:v>2.891133866133867</x:v>
      </x:c>
      <x:c r="D233" t="n">
        <x:f>원본자료!J219</x:f>
        <x:v>-2.55280969031201</x:v>
      </x:c>
      <x:c r="H233" t="n">
        <x:f>원본자료!F233</x:f>
        <x:v>0.225</x:v>
      </x:c>
      <x:c r="I233" t="n">
        <x:f>원본자료!H233</x:f>
        <x:v>0.050625</x:v>
      </x:c>
    </x:row>
    <x:row r="234">
      <x:c r="A234" t="n">
        <x:f>원본자료!F220</x:f>
        <x:v>0.25</x:v>
      </x:c>
      <x:c r="B234" t="n">
        <x:f>원본자료!G220</x:f>
        <x:v>1.43</x:v>
      </x:c>
      <x:c r="C234" t="n">
        <x:f>원본자료!I220</x:f>
        <x:v>5.932823176823174</x:v>
      </x:c>
      <x:c r="D234" t="n">
        <x:f>원본자료!J220</x:f>
        <x:v>-1.6886978022012968</x:v>
      </x:c>
      <x:c r="H234" t="n">
        <x:f>원본자료!F234</x:f>
        <x:v>0.25</x:v>
      </x:c>
      <x:c r="I234" t="n">
        <x:f>원본자료!H234</x:f>
        <x:v>0.0625</x:v>
      </x:c>
    </x:row>
    <x:row r="235">
      <x:c r="A235" t="n">
        <x:f>원본자료!F221</x:f>
        <x:v>0.275</x:v>
      </x:c>
      <x:c r="B235" t="n">
        <x:f>원본자료!G221</x:f>
        <x:v>2.05</x:v>
      </x:c>
      <x:c r="C235" t="n">
        <x:f>원본자료!I221</x:f>
        <x:v>8.974512487512484</x:v>
      </x:c>
      <x:c r="D235" t="n">
        <x:f>원본자료!J221</x:f>
        <x:v>0.2642027971986636</x:v>
      </x:c>
      <x:c r="H235" t="n">
        <x:f>원본자료!F235</x:f>
        <x:v>0.275</x:v>
      </x:c>
      <x:c r="I235" t="n">
        <x:f>원본자료!H235</x:f>
        <x:v>0.07562500000000001</x:v>
      </x:c>
    </x:row>
    <x:row r="236">
      <x:c r="A236" t="n">
        <x:f>원본자료!F222</x:f>
        <x:v>0.3</x:v>
      </x:c>
      <x:c r="B236" t="n">
        <x:f>원본자료!G222</x:f>
        <x:v>2.73</x:v>
      </x:c>
      <x:c r="C236" t="n">
        <x:f>원본자료!I222</x:f>
        <x:v>12.016201798201784</x:v>
      </x:c>
      <x:c r="D236" t="n">
        <x:f>원본자료!J222</x:f>
        <x:v>3.305892107887857</x:v>
      </x:c>
      <x:c r="H236" t="n">
        <x:f>원본자료!F236</x:f>
        <x:v>0.3</x:v>
      </x:c>
      <x:c r="I236" t="n">
        <x:f>원본자료!H236</x:f>
        <x:v>0.09</x:v>
      </x:c>
    </x:row>
    <x:row r="237">
      <x:c r="A237" t="n">
        <x:f>원본자료!F223</x:f>
        <x:v>0.325</x:v>
      </x:c>
      <x:c r="B237" t="n">
        <x:f>원본자료!G223</x:f>
        <x:v>3.87</x:v>
      </x:c>
      <x:c r="C237" t="n">
        <x:f>원본자료!I223</x:f>
        <x:v>15.057891108891098</x:v>
      </x:c>
      <x:c r="D237" t="n">
        <x:f>원본자료!J223</x:f>
        <x:v>7.4363701298663045</x:v>
      </x:c>
      <x:c r="H237" t="n">
        <x:f>원본자료!F237</x:f>
        <x:v>0.325</x:v>
      </x:c>
      <x:c r="I237" t="n">
        <x:f>원본자료!H237</x:f>
        <x:v>0.10562500000000001</x:v>
      </x:c>
    </x:row>
    <x:row r="238">
      <x:c r="A238" t="n">
        <x:f>원본자료!F224</x:f>
        <x:v>0.35</x:v>
      </x:c>
      <x:c r="B238" t="n">
        <x:f>원본자료!G224</x:f>
        <x:v>7.19</x:v>
      </x:c>
      <x:c r="C238" t="n">
        <x:f>원본자료!I224</x:f>
        <x:v>18.0995804195804</x:v>
      </x:c>
      <x:c r="D238" t="n">
        <x:f>원본자료!J224</x:f>
        <x:v>12.655636863133978</x:v>
      </x:c>
      <x:c r="H238" t="n">
        <x:f>원본자료!F238</x:f>
        <x:v>0.35</x:v>
      </x:c>
      <x:c r="I238" t="n">
        <x:f>원본자료!H238</x:f>
        <x:v>0.12249999999999998</x:v>
      </x:c>
    </x:row>
    <x:row r="239">
      <x:c r="A239" t="n">
        <x:f>원본자료!F225</x:f>
        <x:v>0.375</x:v>
      </x:c>
      <x:c r="B239" t="n">
        <x:f>원본자료!G225</x:f>
        <x:v>13.96</x:v>
      </x:c>
      <x:c r="C239" t="n">
        <x:f>원본자료!I225</x:f>
        <x:v>21.141269730269713</x:v>
      </x:c>
      <x:c r="D239" t="n">
        <x:f>원본자료!J225</x:f>
        <x:v>18.96369230769092</x:v>
      </x:c>
      <x:c r="H239" t="n">
        <x:f>원본자료!F239</x:f>
        <x:v>0.375</x:v>
      </x:c>
      <x:c r="I239" t="n">
        <x:f>원본자료!H239</x:f>
        <x:v>0.140625</x:v>
      </x:c>
    </x:row>
    <x:row r="240">
      <x:c r="A240" t="n">
        <x:f>원본자료!F226</x:f>
        <x:v>0.4</x:v>
      </x:c>
      <x:c r="B240" t="n">
        <x:f>원본자료!G226</x:f>
        <x:v>25.18</x:v>
      </x:c>
      <x:c r="C240" t="n">
        <x:f>원본자료!I226</x:f>
        <x:v>24.18295904095902</x:v>
      </x:c>
      <x:c r="D240" t="n">
        <x:f>원본자료!J226</x:f>
        <x:v>26.360536463537102</x:v>
      </x:c>
      <x:c r="H240" t="n">
        <x:f>원본자료!F240</x:f>
        <x:v>0.4</x:v>
      </x:c>
      <x:c r="I240" t="n">
        <x:f>원본자료!H240</x:f>
        <x:v>0.16000000000000003</x:v>
      </x:c>
    </x:row>
    <x:row r="241">
      <x:c r="A241" t="n">
        <x:f>원본자료!F227</x:f>
        <x:v>0.425</x:v>
      </x:c>
      <x:c r="B241" t="n">
        <x:f>원본자료!G227</x:f>
        <x:v>41.34</x:v>
      </x:c>
      <x:c r="C241" t="n">
        <x:f>원본자료!I227</x:f>
        <x:v>27.224648351648327</x:v>
      </x:c>
      <x:c r="D241" t="n">
        <x:f>원본자료!J227</x:f>
        <x:v>34.846169330672495</x:v>
      </x:c>
      <x:c r="H241" t="n">
        <x:f>원본자료!F241</x:f>
        <x:v>0.425</x:v>
      </x:c>
      <x:c r="I241" t="n">
        <x:f>원본자료!H241</x:f>
        <x:v>0.18062499999999998</x:v>
      </x:c>
    </x:row>
    <x:row r="242">
      <x:c r="A242" t="n">
        <x:f>원본자료!F228</x:f>
        <x:v>0.45</x:v>
      </x:c>
      <x:c r="B242" t="n">
        <x:f>원본자료!G228</x:f>
        <x:v>62.42</x:v>
      </x:c>
      <x:c r="C242" t="n">
        <x:f>원본자료!I228</x:f>
        <x:v>30.266337662337634</x:v>
      </x:c>
      <x:c r="D242" t="n">
        <x:f>원본자료!J228</x:f>
        <x:v>44.42059090909717</x:v>
      </x:c>
      <x:c r="H242" t="n">
        <x:f>원본자료!F242</x:f>
        <x:v>0.45</x:v>
      </x:c>
      <x:c r="I242" t="n">
        <x:f>원본자료!H242</x:f>
        <x:v>0.2025</x:v>
      </x:c>
    </x:row>
    <x:row r="243">
      <x:c r="A243" t="n">
        <x:f>원본자료!F229</x:f>
        <x:v>0.125</x:v>
      </x:c>
      <x:c r="B243" t="n">
        <x:f>원본자료!G229</x:f>
        <x:v>0.03</x:v>
      </x:c>
      <x:c r="C243" t="n">
        <x:f>원본자료!I229</x:f>
        <x:v>-9.275623376623363</x:v>
      </x:c>
      <x:c r="D243" t="n">
        <x:f>원본자료!J229</x:f>
        <x:v>4.878629870137585</x:v>
      </x:c>
      <x:c r="H243" t="n">
        <x:f>원본자료!F243</x:f>
        <x:v>0.125</x:v>
      </x:c>
      <x:c r="I243" t="n">
        <x:f>원본자료!H243</x:f>
        <x:v>0.015625</x:v>
      </x:c>
    </x:row>
    <x:row r="244">
      <x:c r="A244" t="n">
        <x:f>원본자료!F230</x:f>
        <x:v>0.15</x:v>
      </x:c>
      <x:c r="B244" t="n">
        <x:f>원본자료!G230</x:f>
        <x:v>0.18</x:v>
      </x:c>
      <x:c r="C244" t="n">
        <x:f>원본자료!I230</x:f>
        <x:v>-6.233934065934058</x:v>
      </x:c>
      <x:c r="D244" t="n">
        <x:f>원본자료!J230</x:f>
        <x:v>1.3875869130913223</x:v>
      </x:c>
      <x:c r="H244" t="n">
        <x:f>원본자료!F244</x:f>
        <x:v>0.15</x:v>
      </x:c>
      <x:c r="I244" t="n">
        <x:f>원본자료!H244</x:f>
        <x:v>0.0225</x:v>
      </x:c>
    </x:row>
    <x:row r="245">
      <x:c r="A245" t="n">
        <x:f>원본자료!F231</x:f>
        <x:v>0.175</x:v>
      </x:c>
      <x:c r="B245" t="n">
        <x:f>원본자료!G231</x:f>
        <x:v>0.4</x:v>
      </x:c>
      <x:c r="C245" t="n">
        <x:f>원본자료!I231</x:f>
        <x:v>-3.192244755244751</x:v>
      </x:c>
      <x:c r="D245" t="n">
        <x:f>원본자료!J231</x:f>
        <x:v>-1.0146673326656988</x:v>
      </x:c>
      <x:c r="H245" t="n">
        <x:f>원본자료!F245</x:f>
        <x:v>0.175</x:v>
      </x:c>
      <x:c r="I245" t="n">
        <x:f>원본자료!H245</x:f>
        <x:v>0.030624999999999996</x:v>
      </x:c>
    </x:row>
    <x:row r="246">
      <x:c r="A246" t="n">
        <x:f>원본자료!F232</x:f>
        <x:v>0.2</x:v>
      </x:c>
      <x:c r="B246" t="n">
        <x:f>원본자료!G232</x:f>
        <x:v>0.73</x:v>
      </x:c>
      <x:c r="C246" t="n">
        <x:f>원본자료!I232</x:f>
        <x:v>-0.15055544455544023</x:v>
      </x:c>
      <x:c r="D246" t="n">
        <x:f>원본자료!J232</x:f>
        <x:v>-2.3281328671334762</x:v>
      </x:c>
      <x:c r="H246" t="n">
        <x:f>원본자료!F246</x:f>
        <x:v>0.2</x:v>
      </x:c>
      <x:c r="I246" t="n">
        <x:f>원본자료!H246</x:f>
        <x:v>0.04000000000000001</x:v>
      </x:c>
    </x:row>
    <x:row r="247">
      <x:c r="A247" t="n">
        <x:f>원본자료!F233</x:f>
        <x:v>0.225</x:v>
      </x:c>
      <x:c r="B247" t="n">
        <x:f>원본자료!G233</x:f>
        <x:v>1.3</x:v>
      </x:c>
      <x:c r="C247" t="n">
        <x:f>원본자료!I233</x:f>
        <x:v>2.891133866133867</x:v>
      </x:c>
      <x:c r="D247" t="n">
        <x:f>원본자료!J233</x:f>
        <x:v>-2.55280969031201</x:v>
      </x:c>
      <x:c r="H247" t="n">
        <x:f>원본자료!F247</x:f>
        <x:v>0.225</x:v>
      </x:c>
      <x:c r="I247" t="n">
        <x:f>원본자료!H247</x:f>
        <x:v>0.050625</x:v>
      </x:c>
    </x:row>
    <x:row r="248">
      <x:c r="A248" t="n">
        <x:f>원본자료!F234</x:f>
        <x:v>0.25</x:v>
      </x:c>
      <x:c r="B248" t="n">
        <x:f>원본자료!G234</x:f>
        <x:v>2.16</x:v>
      </x:c>
      <x:c r="C248" t="n">
        <x:f>원본자료!I234</x:f>
        <x:v>5.932823176823174</x:v>
      </x:c>
      <x:c r="D248" t="n">
        <x:f>원본자료!J234</x:f>
        <x:v>-1.6886978022012968</x:v>
      </x:c>
      <x:c r="H248" t="n">
        <x:f>원본자료!F248</x:f>
        <x:v>0.25</x:v>
      </x:c>
      <x:c r="I248" t="n">
        <x:f>원본자료!H248</x:f>
        <x:v>0.0625</x:v>
      </x:c>
    </x:row>
    <x:row r="249">
      <x:c r="A249" t="n">
        <x:f>원본자료!F235</x:f>
        <x:v>0.275</x:v>
      </x:c>
      <x:c r="B249" t="n">
        <x:f>원본자료!G235</x:f>
        <x:v>3.35</x:v>
      </x:c>
      <x:c r="C249" t="n">
        <x:f>원본자료!I235</x:f>
        <x:v>8.974512487512484</x:v>
      </x:c>
      <x:c r="D249" t="n">
        <x:f>원본자료!J235</x:f>
        <x:v>0.2642027971986636</x:v>
      </x:c>
      <x:c r="H249" t="n">
        <x:f>원본자료!F249</x:f>
        <x:v>0.275</x:v>
      </x:c>
      <x:c r="I249" t="n">
        <x:f>원본자료!H249</x:f>
        <x:v>0.07562500000000001</x:v>
      </x:c>
    </x:row>
    <x:row r="250">
      <x:c r="A250" t="n">
        <x:f>원본자료!F236</x:f>
        <x:v>0.3</x:v>
      </x:c>
      <x:c r="B250" t="n">
        <x:f>원본자료!G236</x:f>
        <x:v>5.06</x:v>
      </x:c>
      <x:c r="C250" t="n">
        <x:f>원본자료!I236</x:f>
        <x:v>12.016201798201784</x:v>
      </x:c>
      <x:c r="D250" t="n">
        <x:f>원본자료!J236</x:f>
        <x:v>3.305892107887857</x:v>
      </x:c>
      <x:c r="H250" t="n">
        <x:f>원본자료!F250</x:f>
        <x:v>0.3</x:v>
      </x:c>
      <x:c r="I250" t="n">
        <x:f>원본자료!H250</x:f>
        <x:v>0.09</x:v>
      </x:c>
    </x:row>
    <x:row r="251">
      <x:c r="A251" t="n">
        <x:f>원본자료!F237</x:f>
        <x:v>0.325</x:v>
      </x:c>
      <x:c r="B251" t="n">
        <x:f>원본자료!G237</x:f>
        <x:v>7.14</x:v>
      </x:c>
      <x:c r="C251" t="n">
        <x:f>원본자료!I237</x:f>
        <x:v>15.057891108891098</x:v>
      </x:c>
      <x:c r="D251" t="n">
        <x:f>원본자료!J237</x:f>
        <x:v>7.4363701298663045</x:v>
      </x:c>
      <x:c r="H251" t="n">
        <x:f>원본자료!F251</x:f>
        <x:v>0.325</x:v>
      </x:c>
      <x:c r="I251" t="n">
        <x:f>원본자료!H251</x:f>
        <x:v>0.10562500000000001</x:v>
      </x:c>
    </x:row>
    <x:row r="252">
      <x:c r="A252" t="n">
        <x:f>원본자료!F238</x:f>
        <x:v>0.35</x:v>
      </x:c>
      <x:c r="B252" t="n">
        <x:f>원본자료!G238</x:f>
        <x:v>10.36</x:v>
      </x:c>
      <x:c r="C252" t="n">
        <x:f>원본자료!I238</x:f>
        <x:v>18.0995804195804</x:v>
      </x:c>
      <x:c r="D252" t="n">
        <x:f>원본자료!J238</x:f>
        <x:v>12.655636863133978</x:v>
      </x:c>
      <x:c r="H252" t="n">
        <x:f>원본자료!F252</x:f>
        <x:v>0.35</x:v>
      </x:c>
      <x:c r="I252" t="n">
        <x:f>원본자료!H252</x:f>
        <x:v>0.12249999999999998</x:v>
      </x:c>
    </x:row>
    <x:row r="253">
      <x:c r="A253" t="n">
        <x:f>원본자료!F239</x:f>
        <x:v>0.375</x:v>
      </x:c>
      <x:c r="B253" t="n">
        <x:f>원본자료!G239</x:f>
        <x:v>15.25</x:v>
      </x:c>
      <x:c r="C253" t="n">
        <x:f>원본자료!I239</x:f>
        <x:v>21.141269730269713</x:v>
      </x:c>
      <x:c r="D253" t="n">
        <x:f>원본자료!J239</x:f>
        <x:v>18.96369230769092</x:v>
      </x:c>
      <x:c r="H253" t="n">
        <x:f>원본자료!F253</x:f>
        <x:v>0.375</x:v>
      </x:c>
      <x:c r="I253" t="n">
        <x:f>원본자료!H253</x:f>
        <x:v>0.140625</x:v>
      </x:c>
    </x:row>
    <x:row r="254">
      <x:c r="A254" t="n">
        <x:f>원본자료!F240</x:f>
        <x:v>0.4</x:v>
      </x:c>
      <x:c r="B254" t="n">
        <x:f>원본자료!G240</x:f>
        <x:v>23.15</x:v>
      </x:c>
      <x:c r="C254" t="n">
        <x:f>원본자료!I240</x:f>
        <x:v>24.18295904095902</x:v>
      </x:c>
      <x:c r="D254" t="n">
        <x:f>원본자료!J240</x:f>
        <x:v>26.360536463537102</x:v>
      </x:c>
      <x:c r="H254" t="n">
        <x:f>원본자료!F254</x:f>
        <x:v>0.4</x:v>
      </x:c>
      <x:c r="I254" t="n">
        <x:f>원본자료!H254</x:f>
        <x:v>0.16000000000000003</x:v>
      </x:c>
    </x:row>
    <x:row r="255">
      <x:c r="A255" t="n">
        <x:f>원본자료!F241</x:f>
        <x:v>0.425</x:v>
      </x:c>
      <x:c r="B255" t="n">
        <x:f>원본자료!G241</x:f>
        <x:v>34.62</x:v>
      </x:c>
      <x:c r="C255" t="n">
        <x:f>원본자료!I241</x:f>
        <x:v>27.224648351648327</x:v>
      </x:c>
      <x:c r="D255" t="n">
        <x:f>원본자료!J241</x:f>
        <x:v>34.846169330672495</x:v>
      </x:c>
      <x:c r="H255" t="n">
        <x:f>원본자료!F255</x:f>
        <x:v>0.425</x:v>
      </x:c>
      <x:c r="I255" t="n">
        <x:f>원본자료!H255</x:f>
        <x:v>0.18062499999999998</x:v>
      </x:c>
    </x:row>
    <x:row r="256">
      <x:c r="A256" t="n">
        <x:f>원본자료!F242</x:f>
        <x:v>0.45</x:v>
      </x:c>
      <x:c r="B256" t="n">
        <x:f>원본자료!G242</x:f>
        <x:v>51.5</x:v>
      </x:c>
      <x:c r="C256" t="n">
        <x:f>원본자료!I242</x:f>
        <x:v>30.266337662337634</x:v>
      </x:c>
      <x:c r="D256" t="n">
        <x:f>원본자료!J242</x:f>
        <x:v>44.42059090909717</x:v>
      </x:c>
      <x:c r="H256" t="n">
        <x:f>원본자료!F256</x:f>
        <x:v>0.45</x:v>
      </x:c>
      <x:c r="I256" t="n">
        <x:f>원본자료!H256</x:f>
        <x:v>0.2025</x:v>
      </x:c>
    </x:row>
    <x:row r="257">
      <x:c r="A257" t="n">
        <x:f>원본자료!F243</x:f>
        <x:v>0.125</x:v>
      </x:c>
      <x:c r="B257" t="n">
        <x:f>원본자료!G243</x:f>
        <x:v>0.06</x:v>
      </x:c>
      <x:c r="C257" t="n">
        <x:f>원본자료!I243</x:f>
        <x:v>-9.275623376623363</x:v>
      </x:c>
      <x:c r="D257" t="n">
        <x:f>원본자료!J243</x:f>
        <x:v>4.878629870137585</x:v>
      </x:c>
      <x:c r="H257" t="n">
        <x:f>원본자료!F257</x:f>
        <x:v>0.125</x:v>
      </x:c>
      <x:c r="I257" t="n">
        <x:f>원본자료!H257</x:f>
        <x:v>0.015625</x:v>
      </x:c>
    </x:row>
    <x:row r="258">
      <x:c r="A258" t="n">
        <x:f>원본자료!F244</x:f>
        <x:v>0.15</x:v>
      </x:c>
      <x:c r="B258" t="n">
        <x:f>원본자료!G244</x:f>
        <x:v>0.15</x:v>
      </x:c>
      <x:c r="C258" t="n">
        <x:f>원본자료!I244</x:f>
        <x:v>-6.233934065934058</x:v>
      </x:c>
      <x:c r="D258" t="n">
        <x:f>원본자료!J244</x:f>
        <x:v>1.3875869130913223</x:v>
      </x:c>
      <x:c r="H258" t="n">
        <x:f>원본자료!F258</x:f>
        <x:v>0.15</x:v>
      </x:c>
      <x:c r="I258" t="n">
        <x:f>원본자료!H258</x:f>
        <x:v>0.0225</x:v>
      </x:c>
    </x:row>
    <x:row r="259">
      <x:c r="A259" t="n">
        <x:f>원본자료!F245</x:f>
        <x:v>0.175</x:v>
      </x:c>
      <x:c r="B259" t="n">
        <x:f>원본자료!G245</x:f>
        <x:v>0.34</x:v>
      </x:c>
      <x:c r="C259" t="n">
        <x:f>원본자료!I245</x:f>
        <x:v>-3.192244755244751</x:v>
      </x:c>
      <x:c r="D259" t="n">
        <x:f>원본자료!J245</x:f>
        <x:v>-1.0146673326656988</x:v>
      </x:c>
      <x:c r="H259" t="n">
        <x:f>원본자료!F259</x:f>
        <x:v>0.175</x:v>
      </x:c>
      <x:c r="I259" t="n">
        <x:f>원본자료!H259</x:f>
        <x:v>0.030624999999999996</x:v>
      </x:c>
    </x:row>
    <x:row r="260">
      <x:c r="A260" t="n">
        <x:f>원본자료!F246</x:f>
        <x:v>0.2</x:v>
      </x:c>
      <x:c r="B260" t="n">
        <x:f>원본자료!G246</x:f>
        <x:v>0.63</x:v>
      </x:c>
      <x:c r="C260" t="n">
        <x:f>원본자료!I246</x:f>
        <x:v>-0.15055544455544023</x:v>
      </x:c>
      <x:c r="D260" t="n">
        <x:f>원본자료!J246</x:f>
        <x:v>-2.3281328671334762</x:v>
      </x:c>
      <x:c r="H260" t="n">
        <x:f>원본자료!F260</x:f>
        <x:v>0.2</x:v>
      </x:c>
      <x:c r="I260" t="n">
        <x:f>원본자료!H260</x:f>
        <x:v>0.04000000000000001</x:v>
      </x:c>
    </x:row>
    <x:row r="261">
      <x:c r="A261" t="n">
        <x:f>원본자료!F247</x:f>
        <x:v>0.225</x:v>
      </x:c>
      <x:c r="B261" t="n">
        <x:f>원본자료!G247</x:f>
        <x:v>1.13</x:v>
      </x:c>
      <x:c r="C261" t="n">
        <x:f>원본자료!I247</x:f>
        <x:v>2.891133866133867</x:v>
      </x:c>
      <x:c r="D261" t="n">
        <x:f>원본자료!J247</x:f>
        <x:v>-2.55280969031201</x:v>
      </x:c>
      <x:c r="H261" t="n">
        <x:f>원본자료!F261</x:f>
        <x:v>0.225</x:v>
      </x:c>
      <x:c r="I261" t="n">
        <x:f>원본자료!H261</x:f>
        <x:v>0.050625</x:v>
      </x:c>
    </x:row>
    <x:row r="262">
      <x:c r="A262" t="n">
        <x:f>원본자료!F248</x:f>
        <x:v>0.25</x:v>
      </x:c>
      <x:c r="B262" t="n">
        <x:f>원본자료!G248</x:f>
        <x:v>1.85</x:v>
      </x:c>
      <x:c r="C262" t="n">
        <x:f>원본자료!I248</x:f>
        <x:v>5.932823176823174</x:v>
      </x:c>
      <x:c r="D262" t="n">
        <x:f>원본자료!J248</x:f>
        <x:v>-1.6886978022012968</x:v>
      </x:c>
      <x:c r="H262" t="n">
        <x:f>원본자료!F262</x:f>
        <x:v>0.25</x:v>
      </x:c>
      <x:c r="I262" t="n">
        <x:f>원본자료!H262</x:f>
        <x:v>0.0625</x:v>
      </x:c>
    </x:row>
    <x:row r="263">
      <x:c r="A263" t="n">
        <x:f>원본자료!F249</x:f>
        <x:v>0.275</x:v>
      </x:c>
      <x:c r="B263" t="n">
        <x:f>원본자료!G249</x:f>
        <x:v>2.84</x:v>
      </x:c>
      <x:c r="C263" t="n">
        <x:f>원본자료!I249</x:f>
        <x:v>8.974512487512484</x:v>
      </x:c>
      <x:c r="D263" t="n">
        <x:f>원본자료!J249</x:f>
        <x:v>0.2642027971986636</x:v>
      </x:c>
      <x:c r="H263" t="n">
        <x:f>원본자료!F263</x:f>
        <x:v>0.275</x:v>
      </x:c>
      <x:c r="I263" t="n">
        <x:f>원본자료!H263</x:f>
        <x:v>0.07562500000000001</x:v>
      </x:c>
    </x:row>
    <x:row r="264">
      <x:c r="A264" t="n">
        <x:f>원본자료!F250</x:f>
        <x:v>0.3</x:v>
      </x:c>
      <x:c r="B264" t="n">
        <x:f>원본자료!G250</x:f>
        <x:v>4.34</x:v>
      </x:c>
      <x:c r="C264" t="n">
        <x:f>원본자료!I250</x:f>
        <x:v>12.016201798201784</x:v>
      </x:c>
      <x:c r="D264" t="n">
        <x:f>원본자료!J250</x:f>
        <x:v>3.305892107887857</x:v>
      </x:c>
      <x:c r="H264" t="n">
        <x:f>원본자료!F264</x:f>
        <x:v>0.3</x:v>
      </x:c>
      <x:c r="I264" t="n">
        <x:f>원본자료!H264</x:f>
        <x:v>0.09</x:v>
      </x:c>
    </x:row>
    <x:row r="265">
      <x:c r="A265" t="n">
        <x:f>원본자료!F251</x:f>
        <x:v>0.325</x:v>
      </x:c>
      <x:c r="B265" t="n">
        <x:f>원본자료!G251</x:f>
        <x:v>6.2</x:v>
      </x:c>
      <x:c r="C265" t="n">
        <x:f>원본자료!I251</x:f>
        <x:v>15.057891108891098</x:v>
      </x:c>
      <x:c r="D265" t="n">
        <x:f>원본자료!J251</x:f>
        <x:v>7.4363701298663045</x:v>
      </x:c>
      <x:c r="H265" t="n">
        <x:f>원본자료!F265</x:f>
        <x:v>0.325</x:v>
      </x:c>
      <x:c r="I265" t="n">
        <x:f>원본자료!H265</x:f>
        <x:v>0.10562500000000001</x:v>
      </x:c>
    </x:row>
    <x:row r="266">
      <x:c r="A266" t="n">
        <x:f>원본자료!F252</x:f>
        <x:v>0.35</x:v>
      </x:c>
      <x:c r="B266" t="n">
        <x:f>원본자료!G252</x:f>
        <x:v>8.62</x:v>
      </x:c>
      <x:c r="C266" t="n">
        <x:f>원본자료!I252</x:f>
        <x:v>18.0995804195804</x:v>
      </x:c>
      <x:c r="D266" t="n">
        <x:f>원본자료!J252</x:f>
        <x:v>12.655636863133978</x:v>
      </x:c>
      <x:c r="H266" t="n">
        <x:f>원본자료!F266</x:f>
        <x:v>0.35</x:v>
      </x:c>
      <x:c r="I266" t="n">
        <x:f>원본자료!H266</x:f>
        <x:v>0.12249999999999998</x:v>
      </x:c>
    </x:row>
    <x:row r="267">
      <x:c r="A267" t="n">
        <x:f>원본자료!F253</x:f>
        <x:v>0.375</x:v>
      </x:c>
      <x:c r="B267" t="n">
        <x:f>원본자료!G253</x:f>
        <x:v>12.49</x:v>
      </x:c>
      <x:c r="C267" t="n">
        <x:f>원본자료!I253</x:f>
        <x:v>21.141269730269713</x:v>
      </x:c>
      <x:c r="D267" t="n">
        <x:f>원본자료!J253</x:f>
        <x:v>18.96369230769092</x:v>
      </x:c>
      <x:c r="H267" t="n">
        <x:f>원본자료!F267</x:f>
        <x:v>0.375</x:v>
      </x:c>
      <x:c r="I267" t="n">
        <x:f>원본자료!H267</x:f>
        <x:v>0.140625</x:v>
      </x:c>
    </x:row>
    <x:row r="268">
      <x:c r="A268" t="n">
        <x:f>원본자료!F254</x:f>
        <x:v>0.4</x:v>
      </x:c>
      <x:c r="B268" t="n">
        <x:f>원본자료!G254</x:f>
        <x:v>20.41</x:v>
      </x:c>
      <x:c r="C268" t="n">
        <x:f>원본자료!I254</x:f>
        <x:v>24.18295904095902</x:v>
      </x:c>
      <x:c r="D268" t="n">
        <x:f>원본자료!J254</x:f>
        <x:v>26.360536463537102</x:v>
      </x:c>
      <x:c r="H268" t="n">
        <x:f>원본자료!F268</x:f>
        <x:v>0.4</x:v>
      </x:c>
      <x:c r="I268" t="n">
        <x:f>원본자료!H268</x:f>
        <x:v>0.16000000000000003</x:v>
      </x:c>
    </x:row>
    <x:row r="269">
      <x:c r="A269" t="n">
        <x:f>원본자료!F255</x:f>
        <x:v>0.425</x:v>
      </x:c>
      <x:c r="B269" t="n">
        <x:f>원본자료!G255</x:f>
        <x:v>32.46</x:v>
      </x:c>
      <x:c r="C269" t="n">
        <x:f>원본자료!I255</x:f>
        <x:v>27.224648351648327</x:v>
      </x:c>
      <x:c r="D269" t="n">
        <x:f>원본자료!J255</x:f>
        <x:v>34.846169330672495</x:v>
      </x:c>
      <x:c r="H269" t="n">
        <x:f>원본자료!F269</x:f>
        <x:v>0.425</x:v>
      </x:c>
      <x:c r="I269" t="n">
        <x:f>원본자료!H269</x:f>
        <x:v>0.18062499999999998</x:v>
      </x:c>
    </x:row>
    <x:row r="270">
      <x:c r="A270" t="n">
        <x:f>원본자료!F256</x:f>
        <x:v>0.45</x:v>
      </x:c>
      <x:c r="B270" t="n">
        <x:f>원본자료!G256</x:f>
        <x:v>50.94</x:v>
      </x:c>
      <x:c r="C270" t="n">
        <x:f>원본자료!I256</x:f>
        <x:v>30.266337662337634</x:v>
      </x:c>
      <x:c r="D270" t="n">
        <x:f>원본자료!J256</x:f>
        <x:v>44.42059090909717</x:v>
      </x:c>
      <x:c r="H270" t="n">
        <x:f>원본자료!F270</x:f>
        <x:v>0.45</x:v>
      </x:c>
      <x:c r="I270" t="n">
        <x:f>원본자료!H270</x:f>
        <x:v>0.2025</x:v>
      </x:c>
    </x:row>
    <x:row r="271">
      <x:c r="A271" t="n">
        <x:f>원본자료!F257</x:f>
        <x:v>0.125</x:v>
      </x:c>
      <x:c r="B271" t="n">
        <x:f>원본자료!G257</x:f>
        <x:v>0.16</x:v>
      </x:c>
      <x:c r="C271" t="n">
        <x:f>원본자료!I257</x:f>
        <x:v>-9.275623376623363</x:v>
      </x:c>
      <x:c r="D271" t="n">
        <x:f>원본자료!J257</x:f>
        <x:v>4.878629870137585</x:v>
      </x:c>
      <x:c r="H271" t="n">
        <x:f>원본자료!F271</x:f>
        <x:v>0.125</x:v>
      </x:c>
      <x:c r="I271" t="n">
        <x:f>원본자료!H271</x:f>
        <x:v>0.015625</x:v>
      </x:c>
    </x:row>
    <x:row r="272">
      <x:c r="A272" t="n">
        <x:f>원본자료!F258</x:f>
        <x:v>0.15</x:v>
      </x:c>
      <x:c r="B272" t="n">
        <x:f>원본자료!G258</x:f>
        <x:v>0.32</x:v>
      </x:c>
      <x:c r="C272" t="n">
        <x:f>원본자료!I258</x:f>
        <x:v>-6.233934065934058</x:v>
      </x:c>
      <x:c r="D272" t="n">
        <x:f>원본자료!J258</x:f>
        <x:v>1.3875869130913223</x:v>
      </x:c>
      <x:c r="H272" t="n">
        <x:f>원본자료!F272</x:f>
        <x:v>0.15</x:v>
      </x:c>
      <x:c r="I272" t="n">
        <x:f>원본자료!H272</x:f>
        <x:v>0.0225</x:v>
      </x:c>
    </x:row>
    <x:row r="273">
      <x:c r="A273" t="n">
        <x:f>원본자료!F259</x:f>
        <x:v>0.175</x:v>
      </x:c>
      <x:c r="B273" t="n">
        <x:f>원본자료!G259</x:f>
        <x:v>0.59</x:v>
      </x:c>
      <x:c r="C273" t="n">
        <x:f>원본자료!I259</x:f>
        <x:v>-3.192244755244751</x:v>
      </x:c>
      <x:c r="D273" t="n">
        <x:f>원본자료!J259</x:f>
        <x:v>-1.0146673326656988</x:v>
      </x:c>
      <x:c r="H273" t="n">
        <x:f>원본자료!F273</x:f>
        <x:v>0.175</x:v>
      </x:c>
      <x:c r="I273" t="n">
        <x:f>원본자료!H273</x:f>
        <x:v>0.030624999999999996</x:v>
      </x:c>
    </x:row>
    <x:row r="274">
      <x:c r="A274" t="n">
        <x:f>원본자료!F260</x:f>
        <x:v>0.2</x:v>
      </x:c>
      <x:c r="B274" t="n">
        <x:f>원본자료!G260</x:f>
        <x:v>0.92</x:v>
      </x:c>
      <x:c r="C274" t="n">
        <x:f>원본자료!I260</x:f>
        <x:v>-0.15055544455544023</x:v>
      </x:c>
      <x:c r="D274" t="n">
        <x:f>원본자료!J260</x:f>
        <x:v>-2.3281328671334762</x:v>
      </x:c>
      <x:c r="H274" t="n">
        <x:f>원본자료!F274</x:f>
        <x:v>0.2</x:v>
      </x:c>
      <x:c r="I274" t="n">
        <x:f>원본자료!H274</x:f>
        <x:v>0.04000000000000001</x:v>
      </x:c>
    </x:row>
    <x:row r="275">
      <x:c r="A275" t="n">
        <x:f>원본자료!F261</x:f>
        <x:v>0.225</x:v>
      </x:c>
      <x:c r="B275" t="n">
        <x:f>원본자료!G261</x:f>
        <x:v>1.37</x:v>
      </x:c>
      <x:c r="C275" t="n">
        <x:f>원본자료!I261</x:f>
        <x:v>2.891133866133867</x:v>
      </x:c>
      <x:c r="D275" t="n">
        <x:f>원본자료!J261</x:f>
        <x:v>-2.55280969031201</x:v>
      </x:c>
      <x:c r="H275" t="n">
        <x:f>원본자료!F275</x:f>
        <x:v>0.225</x:v>
      </x:c>
      <x:c r="I275" t="n">
        <x:f>원본자료!H275</x:f>
        <x:v>0.050625</x:v>
      </x:c>
    </x:row>
    <x:row r="276">
      <x:c r="A276" t="n">
        <x:f>원본자료!F262</x:f>
        <x:v>0.25</x:v>
      </x:c>
      <x:c r="B276" t="n">
        <x:f>원본자료!G262</x:f>
        <x:v>1.94</x:v>
      </x:c>
      <x:c r="C276" t="n">
        <x:f>원본자료!I262</x:f>
        <x:v>5.932823176823174</x:v>
      </x:c>
      <x:c r="D276" t="n">
        <x:f>원본자료!J262</x:f>
        <x:v>-1.6886978022012968</x:v>
      </x:c>
      <x:c r="H276" t="n">
        <x:f>원본자료!F276</x:f>
        <x:v>0.25</x:v>
      </x:c>
      <x:c r="I276" t="n">
        <x:f>원본자료!H276</x:f>
        <x:v>0.0625</x:v>
      </x:c>
    </x:row>
    <x:row r="277">
      <x:c r="A277" t="n">
        <x:f>원본자료!F263</x:f>
        <x:v>0.275</x:v>
      </x:c>
      <x:c r="B277" t="n">
        <x:f>원본자료!G263</x:f>
        <x:v>2.62</x:v>
      </x:c>
      <x:c r="C277" t="n">
        <x:f>원본자료!I263</x:f>
        <x:v>8.974512487512484</x:v>
      </x:c>
      <x:c r="D277" t="n">
        <x:f>원본자료!J263</x:f>
        <x:v>0.2642027971986636</x:v>
      </x:c>
      <x:c r="H277" t="n">
        <x:f>원본자료!F277</x:f>
        <x:v>0.275</x:v>
      </x:c>
      <x:c r="I277" t="n">
        <x:f>원본자료!H277</x:f>
        <x:v>0.07562500000000001</x:v>
      </x:c>
    </x:row>
    <x:row r="278">
      <x:c r="A278" t="n">
        <x:f>원본자료!F264</x:f>
        <x:v>0.3</x:v>
      </x:c>
      <x:c r="B278" t="n">
        <x:f>원본자료!G264</x:f>
        <x:v>3.7</x:v>
      </x:c>
      <x:c r="C278" t="n">
        <x:f>원본자료!I264</x:f>
        <x:v>12.016201798201784</x:v>
      </x:c>
      <x:c r="D278" t="n">
        <x:f>원본자료!J264</x:f>
        <x:v>3.305892107887857</x:v>
      </x:c>
      <x:c r="H278" t="n">
        <x:f>원본자료!F278</x:f>
        <x:v>0.3</x:v>
      </x:c>
      <x:c r="I278" t="n">
        <x:f>원본자료!H278</x:f>
        <x:v>0.09</x:v>
      </x:c>
    </x:row>
    <x:row r="279">
      <x:c r="A279" t="n">
        <x:f>원본자료!F265</x:f>
        <x:v>0.325</x:v>
      </x:c>
      <x:c r="B279" t="n">
        <x:f>원본자료!G265</x:f>
        <x:v>5.45</x:v>
      </x:c>
      <x:c r="C279" t="n">
        <x:f>원본자료!I265</x:f>
        <x:v>15.057891108891098</x:v>
      </x:c>
      <x:c r="D279" t="n">
        <x:f>원본자료!J265</x:f>
        <x:v>7.4363701298663045</x:v>
      </x:c>
      <x:c r="H279" t="n">
        <x:f>원본자료!F279</x:f>
        <x:v>0.325</x:v>
      </x:c>
      <x:c r="I279" t="n">
        <x:f>원본자료!H279</x:f>
        <x:v>0.10562500000000001</x:v>
      </x:c>
    </x:row>
    <x:row r="280">
      <x:c r="A280" t="n">
        <x:f>원본자료!F266</x:f>
        <x:v>0.35</x:v>
      </x:c>
      <x:c r="B280" t="n">
        <x:f>원본자료!G266</x:f>
        <x:v>9.45</x:v>
      </x:c>
      <x:c r="C280" t="n">
        <x:f>원본자료!I266</x:f>
        <x:v>18.0995804195804</x:v>
      </x:c>
      <x:c r="D280" t="n">
        <x:f>원본자료!J266</x:f>
        <x:v>12.655636863133978</x:v>
      </x:c>
      <x:c r="H280" t="n">
        <x:f>원본자료!F280</x:f>
        <x:v>0.35</x:v>
      </x:c>
      <x:c r="I280" t="n">
        <x:f>원본자료!H280</x:f>
        <x:v>0.12249999999999998</x:v>
      </x:c>
    </x:row>
    <x:row r="281">
      <x:c r="A281" t="n">
        <x:f>원본자료!F267</x:f>
        <x:v>0.375</x:v>
      </x:c>
      <x:c r="B281" t="n">
        <x:f>원본자료!G267</x:f>
        <x:v>16.31</x:v>
      </x:c>
      <x:c r="C281" t="n">
        <x:f>원본자료!I267</x:f>
        <x:v>21.141269730269713</x:v>
      </x:c>
      <x:c r="D281" t="n">
        <x:f>원본자료!J267</x:f>
        <x:v>18.96369230769092</x:v>
      </x:c>
      <x:c r="H281" t="n">
        <x:f>원본자료!F281</x:f>
        <x:v>0.375</x:v>
      </x:c>
      <x:c r="I281" t="n">
        <x:f>원본자료!H281</x:f>
        <x:v>0.140625</x:v>
      </x:c>
    </x:row>
    <x:row r="282">
      <x:c r="A282" t="n">
        <x:f>원본자료!F268</x:f>
        <x:v>0.4</x:v>
      </x:c>
      <x:c r="B282" t="n">
        <x:f>원본자료!G268</x:f>
        <x:v>27.34</x:v>
      </x:c>
      <x:c r="C282" t="n">
        <x:f>원본자료!I268</x:f>
        <x:v>24.18295904095902</x:v>
      </x:c>
      <x:c r="D282" t="n">
        <x:f>원본자료!J268</x:f>
        <x:v>26.360536463537102</x:v>
      </x:c>
      <x:c r="H282" t="n">
        <x:f>원본자료!F282</x:f>
        <x:v>0.4</x:v>
      </x:c>
      <x:c r="I282" t="n">
        <x:f>원본자료!H282</x:f>
        <x:v>0.16000000000000003</x:v>
      </x:c>
    </x:row>
    <x:row r="283">
      <x:c r="A283" t="n">
        <x:f>원본자료!F269</x:f>
        <x:v>0.425</x:v>
      </x:c>
      <x:c r="B283" t="n">
        <x:f>원본자료!G269</x:f>
        <x:v>41.77</x:v>
      </x:c>
      <x:c r="C283" t="n">
        <x:f>원본자료!I269</x:f>
        <x:v>27.224648351648327</x:v>
      </x:c>
      <x:c r="D283" t="n">
        <x:f>원본자료!J269</x:f>
        <x:v>34.846169330672495</x:v>
      </x:c>
      <x:c r="H283" t="n">
        <x:f>원본자료!F283</x:f>
        <x:v>0.425</x:v>
      </x:c>
      <x:c r="I283" t="n">
        <x:f>원본자료!H283</x:f>
        <x:v>0.18062499999999998</x:v>
      </x:c>
    </x:row>
    <x:row r="284">
      <x:c r="A284" t="n">
        <x:f>원본자료!F270</x:f>
        <x:v>0.45</x:v>
      </x:c>
      <x:c r="B284" t="n">
        <x:f>원본자료!G270</x:f>
        <x:v>60.85</x:v>
      </x:c>
      <x:c r="C284" t="n">
        <x:f>원본자료!I270</x:f>
        <x:v>30.266337662337634</x:v>
      </x:c>
      <x:c r="D284" t="n">
        <x:f>원본자료!J270</x:f>
        <x:v>44.42059090909717</x:v>
      </x:c>
      <x:c r="H284" t="n">
        <x:f>원본자료!F284</x:f>
        <x:v>0.45</x:v>
      </x:c>
      <x:c r="I284" t="n">
        <x:f>원본자료!H284</x:f>
        <x:v>0.2025</x:v>
      </x:c>
    </x:row>
    <x:row r="285">
      <x:c r="A285" t="n">
        <x:f>원본자료!F271</x:f>
        <x:v>0.125</x:v>
      </x:c>
      <x:c r="B285" t="n">
        <x:f>원본자료!G271</x:f>
        <x:v>0.09</x:v>
      </x:c>
      <x:c r="C285" t="n">
        <x:f>원본자료!I271</x:f>
        <x:v>-9.275623376623363</x:v>
      </x:c>
      <x:c r="D285" t="n">
        <x:f>원본자료!J271</x:f>
        <x:v>4.878629870137585</x:v>
      </x:c>
      <x:c r="H285" t="n">
        <x:f>원본자료!F285</x:f>
        <x:v>0.125</x:v>
      </x:c>
      <x:c r="I285" t="n">
        <x:f>원본자료!H285</x:f>
        <x:v>0.015625</x:v>
      </x:c>
    </x:row>
    <x:row r="286">
      <x:c r="A286" t="n">
        <x:f>원본자료!F272</x:f>
        <x:v>0.15</x:v>
      </x:c>
      <x:c r="B286" t="n">
        <x:f>원본자료!G272</x:f>
        <x:v>0.24</x:v>
      </x:c>
      <x:c r="C286" t="n">
        <x:f>원본자료!I272</x:f>
        <x:v>-6.233934065934058</x:v>
      </x:c>
      <x:c r="D286" t="n">
        <x:f>원본자료!J272</x:f>
        <x:v>1.3875869130913223</x:v>
      </x:c>
      <x:c r="H286" t="n">
        <x:f>원본자료!F286</x:f>
        <x:v>0.15</x:v>
      </x:c>
      <x:c r="I286" t="n">
        <x:f>원본자료!H286</x:f>
        <x:v>0.0225</x:v>
      </x:c>
    </x:row>
    <x:row r="287">
      <x:c r="A287" t="n">
        <x:f>원본자료!F273</x:f>
        <x:v>0.175</x:v>
      </x:c>
      <x:c r="B287" t="n">
        <x:f>원본자료!G273</x:f>
        <x:v>0.47</x:v>
      </x:c>
      <x:c r="C287" t="n">
        <x:f>원본자료!I273</x:f>
        <x:v>-3.192244755244751</x:v>
      </x:c>
      <x:c r="D287" t="n">
        <x:f>원본자료!J273</x:f>
        <x:v>-1.0146673326656988</x:v>
      </x:c>
      <x:c r="H287" t="n">
        <x:f>원본자료!F287</x:f>
        <x:v>0.175</x:v>
      </x:c>
      <x:c r="I287" t="n">
        <x:f>원본자료!H287</x:f>
        <x:v>0.030624999999999996</x:v>
      </x:c>
    </x:row>
    <x:row r="288">
      <x:c r="A288" t="n">
        <x:f>원본자료!F274</x:f>
        <x:v>0.2</x:v>
      </x:c>
      <x:c r="B288" t="n">
        <x:f>원본자료!G274</x:f>
        <x:v>0.78</x:v>
      </x:c>
      <x:c r="C288" t="n">
        <x:f>원본자료!I274</x:f>
        <x:v>-0.15055544455544023</x:v>
      </x:c>
      <x:c r="D288" t="n">
        <x:f>원본자료!J274</x:f>
        <x:v>-2.3281328671334762</x:v>
      </x:c>
      <x:c r="H288" t="n">
        <x:f>원본자료!F288</x:f>
        <x:v>0.2</x:v>
      </x:c>
      <x:c r="I288" t="n">
        <x:f>원본자료!H288</x:f>
        <x:v>0.04000000000000001</x:v>
      </x:c>
    </x:row>
    <x:row r="289">
      <x:c r="A289" t="n">
        <x:f>원본자료!F275</x:f>
        <x:v>0.225</x:v>
      </x:c>
      <x:c r="B289" t="n">
        <x:f>원본자료!G275</x:f>
        <x:v>1.21</x:v>
      </x:c>
      <x:c r="C289" t="n">
        <x:f>원본자료!I275</x:f>
        <x:v>2.891133866133867</x:v>
      </x:c>
      <x:c r="D289" t="n">
        <x:f>원본자료!J275</x:f>
        <x:v>-2.55280969031201</x:v>
      </x:c>
      <x:c r="H289" t="n">
        <x:f>원본자료!F289</x:f>
        <x:v>0.225</x:v>
      </x:c>
      <x:c r="I289" t="n">
        <x:f>원본자료!H289</x:f>
        <x:v>0.050625</x:v>
      </x:c>
    </x:row>
    <x:row r="290">
      <x:c r="A290" t="n">
        <x:f>원본자료!F276</x:f>
        <x:v>0.25</x:v>
      </x:c>
      <x:c r="B290" t="n">
        <x:f>원본자료!G276</x:f>
        <x:v>1.85</x:v>
      </x:c>
      <x:c r="C290" t="n">
        <x:f>원본자료!I276</x:f>
        <x:v>5.932823176823174</x:v>
      </x:c>
      <x:c r="D290" t="n">
        <x:f>원본자료!J276</x:f>
        <x:v>-1.6886978022012968</x:v>
      </x:c>
      <x:c r="H290" t="n">
        <x:f>원본자료!F290</x:f>
        <x:v>0.25</x:v>
      </x:c>
      <x:c r="I290" t="n">
        <x:f>원본자료!H290</x:f>
        <x:v>0.0625</x:v>
      </x:c>
    </x:row>
    <x:row r="291">
      <x:c r="A291" t="n">
        <x:f>원본자료!F277</x:f>
        <x:v>0.275</x:v>
      </x:c>
      <x:c r="B291" t="n">
        <x:f>원본자료!G277</x:f>
        <x:v>2.62</x:v>
      </x:c>
      <x:c r="C291" t="n">
        <x:f>원본자료!I277</x:f>
        <x:v>8.974512487512484</x:v>
      </x:c>
      <x:c r="D291" t="n">
        <x:f>원본자료!J277</x:f>
        <x:v>0.2642027971986636</x:v>
      </x:c>
      <x:c r="H291" t="n">
        <x:f>원본자료!F291</x:f>
        <x:v>0.275</x:v>
      </x:c>
      <x:c r="I291" t="n">
        <x:f>원본자료!H291</x:f>
        <x:v>0.07562500000000001</x:v>
      </x:c>
    </x:row>
    <x:row r="292">
      <x:c r="A292" t="n">
        <x:f>원본자료!F278</x:f>
        <x:v>0.3</x:v>
      </x:c>
      <x:c r="B292" t="n">
        <x:f>원본자료!G278</x:f>
        <x:v>3.69</x:v>
      </x:c>
      <x:c r="C292" t="n">
        <x:f>원본자료!I278</x:f>
        <x:v>12.016201798201784</x:v>
      </x:c>
      <x:c r="D292" t="n">
        <x:f>원본자료!J278</x:f>
        <x:v>3.305892107887857</x:v>
      </x:c>
      <x:c r="H292" t="n">
        <x:f>원본자료!F292</x:f>
        <x:v>0.3</x:v>
      </x:c>
      <x:c r="I292" t="n">
        <x:f>원본자료!H292</x:f>
        <x:v>0.09</x:v>
      </x:c>
    </x:row>
    <x:row r="293">
      <x:c r="A293" t="n">
        <x:f>원본자료!F279</x:f>
        <x:v>0.325</x:v>
      </x:c>
      <x:c r="B293" t="n">
        <x:f>원본자료!G279</x:f>
        <x:v>5.07</x:v>
      </x:c>
      <x:c r="C293" t="n">
        <x:f>원본자료!I279</x:f>
        <x:v>15.057891108891098</x:v>
      </x:c>
      <x:c r="D293" t="n">
        <x:f>원본자료!J279</x:f>
        <x:v>7.4363701298663045</x:v>
      </x:c>
      <x:c r="H293" t="n">
        <x:f>원본자료!F293</x:f>
        <x:v>0.325</x:v>
      </x:c>
      <x:c r="I293" t="n">
        <x:f>원본자료!H293</x:f>
        <x:v>0.10562500000000001</x:v>
      </x:c>
    </x:row>
    <x:row r="294">
      <x:c r="A294" t="n">
        <x:f>원본자료!F280</x:f>
        <x:v>0.35</x:v>
      </x:c>
      <x:c r="B294" t="n">
        <x:f>원본자료!G280</x:f>
        <x:v>7.95</x:v>
      </x:c>
      <x:c r="C294" t="n">
        <x:f>원본자료!I280</x:f>
        <x:v>18.0995804195804</x:v>
      </x:c>
      <x:c r="D294" t="n">
        <x:f>원본자료!J280</x:f>
        <x:v>12.655636863133978</x:v>
      </x:c>
      <x:c r="H294" t="n">
        <x:f>원본자료!F294</x:f>
        <x:v>0.35</x:v>
      </x:c>
      <x:c r="I294" t="n">
        <x:f>원본자료!H294</x:f>
        <x:v>0.12249999999999998</x:v>
      </x:c>
    </x:row>
    <x:row r="295">
      <x:c r="A295" t="n">
        <x:f>원본자료!F281</x:f>
        <x:v>0.375</x:v>
      </x:c>
      <x:c r="B295" t="n">
        <x:f>원본자료!G281</x:f>
        <x:v>13.73</x:v>
      </x:c>
      <x:c r="C295" t="n">
        <x:f>원본자료!I281</x:f>
        <x:v>21.141269730269713</x:v>
      </x:c>
      <x:c r="D295" t="n">
        <x:f>원본자료!J281</x:f>
        <x:v>18.96369230769092</x:v>
      </x:c>
      <x:c r="H295" t="n">
        <x:f>원본자료!F295</x:f>
        <x:v>0.375</x:v>
      </x:c>
      <x:c r="I295" t="n">
        <x:f>원본자료!H295</x:f>
        <x:v>0.140625</x:v>
      </x:c>
    </x:row>
    <x:row r="296">
      <x:c r="A296" t="n">
        <x:f>원본자료!F282</x:f>
        <x:v>0.4</x:v>
      </x:c>
      <x:c r="B296" t="n">
        <x:f>원본자료!G282</x:f>
        <x:v>23.55</x:v>
      </x:c>
      <x:c r="C296" t="n">
        <x:f>원본자료!I282</x:f>
        <x:v>24.18295904095902</x:v>
      </x:c>
      <x:c r="D296" t="n">
        <x:f>원본자료!J282</x:f>
        <x:v>26.360536463537102</x:v>
      </x:c>
      <x:c r="H296" t="n">
        <x:f>원본자료!F296</x:f>
        <x:v>0.4</x:v>
      </x:c>
      <x:c r="I296" t="n">
        <x:f>원본자료!H296</x:f>
        <x:v>0.16000000000000003</x:v>
      </x:c>
    </x:row>
    <x:row r="297">
      <x:c r="A297" t="n">
        <x:f>원본자료!F283</x:f>
        <x:v>0.425</x:v>
      </x:c>
      <x:c r="B297" t="n">
        <x:f>원본자료!G283</x:f>
        <x:v>37.14</x:v>
      </x:c>
      <x:c r="C297" t="n">
        <x:f>원본자료!I283</x:f>
        <x:v>27.224648351648327</x:v>
      </x:c>
      <x:c r="D297" t="n">
        <x:f>원본자료!J283</x:f>
        <x:v>34.846169330672495</x:v>
      </x:c>
      <x:c r="H297" t="n">
        <x:f>원본자료!F297</x:f>
        <x:v>0.425</x:v>
      </x:c>
      <x:c r="I297" t="n">
        <x:f>원본자료!H297</x:f>
        <x:v>0.18062499999999998</x:v>
      </x:c>
    </x:row>
    <x:row r="298">
      <x:c r="A298" t="n">
        <x:f>원본자료!F284</x:f>
        <x:v>0.45</x:v>
      </x:c>
      <x:c r="B298" t="n">
        <x:f>원본자료!G284</x:f>
        <x:v>55.87</x:v>
      </x:c>
      <x:c r="C298" t="n">
        <x:f>원본자료!I284</x:f>
        <x:v>30.266337662337634</x:v>
      </x:c>
      <x:c r="D298" t="n">
        <x:f>원본자료!J284</x:f>
        <x:v>44.42059090909717</x:v>
      </x:c>
      <x:c r="H298" t="n">
        <x:f>원본자료!F298</x:f>
        <x:v>0.45</x:v>
      </x:c>
      <x:c r="I298" t="n">
        <x:f>원본자료!H298</x:f>
        <x:v>0.2025</x:v>
      </x:c>
    </x:row>
    <x:row r="299">
      <x:c r="A299" t="n">
        <x:f>원본자료!F285</x:f>
        <x:v>0.125</x:v>
      </x:c>
      <x:c r="B299" t="n">
        <x:f>원본자료!G285</x:f>
        <x:v>0.01</x:v>
      </x:c>
      <x:c r="C299" t="n">
        <x:f>원본자료!I285</x:f>
        <x:v>-9.275623376623363</x:v>
      </x:c>
      <x:c r="D299" t="n">
        <x:f>원본자료!J285</x:f>
        <x:v>4.878629870137585</x:v>
      </x:c>
      <x:c r="H299" t="n">
        <x:f>원본자료!F299</x:f>
        <x:v>0.125</x:v>
      </x:c>
      <x:c r="I299" t="n">
        <x:f>원본자료!H299</x:f>
        <x:v>0.015625</x:v>
      </x:c>
    </x:row>
    <x:row r="300">
      <x:c r="A300" t="n">
        <x:f>원본자료!F286</x:f>
        <x:v>0.15</x:v>
      </x:c>
      <x:c r="B300" t="n">
        <x:f>원본자료!G286</x:f>
        <x:v>0.16</x:v>
      </x:c>
      <x:c r="C300" t="n">
        <x:f>원본자료!I286</x:f>
        <x:v>-6.233934065934058</x:v>
      </x:c>
      <x:c r="D300" t="n">
        <x:f>원본자료!J286</x:f>
        <x:v>1.3875869130913223</x:v>
      </x:c>
      <x:c r="H300" t="n">
        <x:f>원본자료!F300</x:f>
        <x:v>0.15</x:v>
      </x:c>
      <x:c r="I300" t="n">
        <x:f>원본자료!H300</x:f>
        <x:v>0.0225</x:v>
      </x:c>
    </x:row>
    <x:row r="301">
      <x:c r="A301" t="n">
        <x:f>원본자료!F287</x:f>
        <x:v>0.175</x:v>
      </x:c>
      <x:c r="B301" t="n">
        <x:f>원본자료!G287</x:f>
        <x:v>0.39</x:v>
      </x:c>
      <x:c r="C301" t="n">
        <x:f>원본자료!I287</x:f>
        <x:v>-3.192244755244751</x:v>
      </x:c>
      <x:c r="D301" t="n">
        <x:f>원본자료!J287</x:f>
        <x:v>-1.0146673326656988</x:v>
      </x:c>
      <x:c r="H301" t="n">
        <x:f>원본자료!F301</x:f>
        <x:v>0.175</x:v>
      </x:c>
      <x:c r="I301" t="n">
        <x:f>원본자료!H301</x:f>
        <x:v>0.030624999999999996</x:v>
      </x:c>
    </x:row>
    <x:row r="302">
      <x:c r="A302" t="n">
        <x:f>원본자료!F288</x:f>
        <x:v>0.2</x:v>
      </x:c>
      <x:c r="B302" t="n">
        <x:f>원본자료!G288</x:f>
        <x:v>0.73</x:v>
      </x:c>
      <x:c r="C302" t="n">
        <x:f>원본자료!I288</x:f>
        <x:v>-0.15055544455544023</x:v>
      </x:c>
      <x:c r="D302" t="n">
        <x:f>원본자료!J288</x:f>
        <x:v>-2.3281328671334762</x:v>
      </x:c>
      <x:c r="H302" t="n">
        <x:f>원본자료!F302</x:f>
        <x:v>0.2</x:v>
      </x:c>
      <x:c r="I302" t="n">
        <x:f>원본자료!H302</x:f>
        <x:v>0.04000000000000001</x:v>
      </x:c>
    </x:row>
    <x:row r="303">
      <x:c r="A303" t="n">
        <x:f>원본자료!F289</x:f>
        <x:v>0.225</x:v>
      </x:c>
      <x:c r="B303" t="n">
        <x:f>원본자료!G289</x:f>
        <x:v>1.24</x:v>
      </x:c>
      <x:c r="C303" t="n">
        <x:f>원본자료!I289</x:f>
        <x:v>2.891133866133867</x:v>
      </x:c>
      <x:c r="D303" t="n">
        <x:f>원본자료!J289</x:f>
        <x:v>-2.55280969031201</x:v>
      </x:c>
      <x:c r="H303" t="n">
        <x:f>원본자료!F303</x:f>
        <x:v>0.225</x:v>
      </x:c>
      <x:c r="I303" t="n">
        <x:f>원본자료!H303</x:f>
        <x:v>0.050625</x:v>
      </x:c>
    </x:row>
    <x:row r="304">
      <x:c r="A304" t="n">
        <x:f>원본자료!F290</x:f>
        <x:v>0.25</x:v>
      </x:c>
      <x:c r="B304" t="n">
        <x:f>원본자료!G290</x:f>
        <x:v>1.96</x:v>
      </x:c>
      <x:c r="C304" t="n">
        <x:f>원본자료!I290</x:f>
        <x:v>5.932823176823174</x:v>
      </x:c>
      <x:c r="D304" t="n">
        <x:f>원본자료!J290</x:f>
        <x:v>-1.6886978022012968</x:v>
      </x:c>
      <x:c r="H304" t="n">
        <x:f>원본자료!F304</x:f>
        <x:v>0.25</x:v>
      </x:c>
      <x:c r="I304" t="n">
        <x:f>원본자료!H304</x:f>
        <x:v>0.0625</x:v>
      </x:c>
    </x:row>
    <x:row r="305">
      <x:c r="A305" t="n">
        <x:f>원본자료!F291</x:f>
        <x:v>0.275</x:v>
      </x:c>
      <x:c r="B305" t="n">
        <x:f>원본자료!G291</x:f>
        <x:v>3.04</x:v>
      </x:c>
      <x:c r="C305" t="n">
        <x:f>원본자료!I291</x:f>
        <x:v>8.974512487512484</x:v>
      </x:c>
      <x:c r="D305" t="n">
        <x:f>원본자료!J291</x:f>
        <x:v>0.2642027971986636</x:v>
      </x:c>
      <x:c r="H305" t="n">
        <x:f>원본자료!F305</x:f>
        <x:v>0.275</x:v>
      </x:c>
      <x:c r="I305" t="n">
        <x:f>원본자료!H305</x:f>
        <x:v>0.07562500000000001</x:v>
      </x:c>
    </x:row>
    <x:row r="306">
      <x:c r="A306" t="n">
        <x:f>원본자료!F292</x:f>
        <x:v>0.3</x:v>
      </x:c>
      <x:c r="B306" t="n">
        <x:f>원본자료!G292</x:f>
        <x:v>4.46</x:v>
      </x:c>
      <x:c r="C306" t="n">
        <x:f>원본자료!I292</x:f>
        <x:v>12.016201798201784</x:v>
      </x:c>
      <x:c r="D306" t="n">
        <x:f>원본자료!J292</x:f>
        <x:v>3.305892107887857</x:v>
      </x:c>
      <x:c r="H306" t="n">
        <x:f>원본자료!F306</x:f>
        <x:v>0.3</x:v>
      </x:c>
      <x:c r="I306" t="n">
        <x:f>원본자료!H306</x:f>
        <x:v>0.09</x:v>
      </x:c>
    </x:row>
    <x:row r="307">
      <x:c r="A307" t="n">
        <x:f>원본자료!F293</x:f>
        <x:v>0.325</x:v>
      </x:c>
      <x:c r="B307" t="n">
        <x:f>원본자료!G293</x:f>
        <x:v>6.31</x:v>
      </x:c>
      <x:c r="C307" t="n">
        <x:f>원본자료!I293</x:f>
        <x:v>15.057891108891098</x:v>
      </x:c>
      <x:c r="D307" t="n">
        <x:f>원본자료!J293</x:f>
        <x:v>7.4363701298663045</x:v>
      </x:c>
      <x:c r="H307" t="n">
        <x:f>원본자료!F307</x:f>
        <x:v>0.325</x:v>
      </x:c>
      <x:c r="I307" t="n">
        <x:f>원본자료!H307</x:f>
        <x:v>0.10562500000000001</x:v>
      </x:c>
    </x:row>
    <x:row r="308">
      <x:c r="A308" t="n">
        <x:f>원본자료!F294</x:f>
        <x:v>0.35</x:v>
      </x:c>
      <x:c r="B308" t="n">
        <x:f>원본자료!G294</x:f>
        <x:v>8.68</x:v>
      </x:c>
      <x:c r="C308" t="n">
        <x:f>원본자료!I294</x:f>
        <x:v>18.0995804195804</x:v>
      </x:c>
      <x:c r="D308" t="n">
        <x:f>원본자료!J294</x:f>
        <x:v>12.655636863133978</x:v>
      </x:c>
      <x:c r="H308" t="n">
        <x:f>원본자료!F308</x:f>
        <x:v>0.35</x:v>
      </x:c>
      <x:c r="I308" t="n">
        <x:f>원본자료!H308</x:f>
        <x:v>0.12249999999999998</x:v>
      </x:c>
    </x:row>
    <x:row r="309">
      <x:c r="A309" t="n">
        <x:f>원본자료!F295</x:f>
        <x:v>0.375</x:v>
      </x:c>
      <x:c r="B309" t="n">
        <x:f>원본자료!G295</x:f>
        <x:v>12.39</x:v>
      </x:c>
      <x:c r="C309" t="n">
        <x:f>원본자료!I295</x:f>
        <x:v>21.141269730269713</x:v>
      </x:c>
      <x:c r="D309" t="n">
        <x:f>원본자료!J295</x:f>
        <x:v>18.96369230769092</x:v>
      </x:c>
      <x:c r="H309" t="n">
        <x:f>원본자료!F309</x:f>
        <x:v>0.375</x:v>
      </x:c>
      <x:c r="I309" t="n">
        <x:f>원본자료!H309</x:f>
        <x:v>0.140625</x:v>
      </x:c>
    </x:row>
    <x:row r="310">
      <x:c r="A310" t="n">
        <x:f>원본자료!F296</x:f>
        <x:v>0.4</x:v>
      </x:c>
      <x:c r="B310" t="n">
        <x:f>원본자료!G296</x:f>
        <x:v>20.14</x:v>
      </x:c>
      <x:c r="C310" t="n">
        <x:f>원본자료!I296</x:f>
        <x:v>24.18295904095902</x:v>
      </x:c>
      <x:c r="D310" t="n">
        <x:f>원본자료!J296</x:f>
        <x:v>26.360536463537102</x:v>
      </x:c>
      <x:c r="H310" t="n">
        <x:f>원본자료!F310</x:f>
        <x:v>0.4</x:v>
      </x:c>
      <x:c r="I310" t="n">
        <x:f>원본자료!H310</x:f>
        <x:v>0.16000000000000003</x:v>
      </x:c>
    </x:row>
    <x:row r="311">
      <x:c r="A311" t="n">
        <x:f>원본자료!F297</x:f>
        <x:v>0.425</x:v>
      </x:c>
      <x:c r="B311" t="n">
        <x:f>원본자료!G297</x:f>
        <x:v>31.77</x:v>
      </x:c>
      <x:c r="C311" t="n">
        <x:f>원본자료!I297</x:f>
        <x:v>27.224648351648327</x:v>
      </x:c>
      <x:c r="D311" t="n">
        <x:f>원본자료!J297</x:f>
        <x:v>34.846169330672495</x:v>
      </x:c>
      <x:c r="H311" t="n">
        <x:f>원본자료!F311</x:f>
        <x:v>0.425</x:v>
      </x:c>
      <x:c r="I311" t="n">
        <x:f>원본자료!H311</x:f>
        <x:v>0.18062499999999998</x:v>
      </x:c>
    </x:row>
    <x:row r="312">
      <x:c r="A312" t="n">
        <x:f>원본자료!F298</x:f>
        <x:v>0.45</x:v>
      </x:c>
      <x:c r="B312" t="n">
        <x:f>원본자료!G298</x:f>
        <x:v>47.13</x:v>
      </x:c>
      <x:c r="C312" t="n">
        <x:f>원본자료!I298</x:f>
        <x:v>30.266337662337634</x:v>
      </x:c>
      <x:c r="D312" t="n">
        <x:f>원본자료!J298</x:f>
        <x:v>44.42059090909717</x:v>
      </x:c>
      <x:c r="H312" t="n">
        <x:f>원본자료!F312</x:f>
        <x:v>0.45</x:v>
      </x:c>
      <x:c r="I312" t="n">
        <x:f>원본자료!H312</x:f>
        <x:v>0.2025</x:v>
      </x:c>
    </x:row>
    <x:row r="313">
      <x:c r="A313" t="n">
        <x:f>원본자료!F299</x:f>
        <x:v>0.125</x:v>
      </x:c>
      <x:c r="B313" t="n">
        <x:f>원본자료!G299</x:f>
        <x:v>0.04</x:v>
      </x:c>
      <x:c r="C313" t="n">
        <x:f>원본자료!I299</x:f>
        <x:v>-9.275623376623363</x:v>
      </x:c>
      <x:c r="D313" t="n">
        <x:f>원본자료!J299</x:f>
        <x:v>4.878629870137585</x:v>
      </x:c>
    </x:row>
    <x:row r="314">
      <x:c r="A314" t="n">
        <x:f>원본자료!F300</x:f>
        <x:v>0.15</x:v>
      </x:c>
      <x:c r="B314" t="n">
        <x:f>원본자료!G300</x:f>
        <x:v>0.17</x:v>
      </x:c>
      <x:c r="C314" t="n">
        <x:f>원본자료!I300</x:f>
        <x:v>-6.233934065934058</x:v>
      </x:c>
      <x:c r="D314" t="n">
        <x:f>원본자료!J300</x:f>
        <x:v>1.3875869130913223</x:v>
      </x:c>
    </x:row>
    <x:row r="315">
      <x:c r="A315" t="n">
        <x:f>원본자료!F301</x:f>
        <x:v>0.175</x:v>
      </x:c>
      <x:c r="B315" t="n">
        <x:f>원본자료!G301</x:f>
        <x:v>0.36</x:v>
      </x:c>
      <x:c r="C315" t="n">
        <x:f>원본자료!I301</x:f>
        <x:v>-3.192244755244751</x:v>
      </x:c>
      <x:c r="D315" t="n">
        <x:f>원본자료!J301</x:f>
        <x:v>-1.0146673326656988</x:v>
      </x:c>
    </x:row>
    <x:row r="316">
      <x:c r="A316" t="n">
        <x:f>원본자료!F302</x:f>
        <x:v>0.2</x:v>
      </x:c>
      <x:c r="B316" t="n">
        <x:f>원본자료!G302</x:f>
        <x:v>0.64</x:v>
      </x:c>
      <x:c r="C316" t="n">
        <x:f>원본자료!I302</x:f>
        <x:v>-0.15055544455544023</x:v>
      </x:c>
      <x:c r="D316" t="n">
        <x:f>원본자료!J302</x:f>
        <x:v>-2.3281328671334762</x:v>
      </x:c>
    </x:row>
    <x:row r="317">
      <x:c r="A317" t="n">
        <x:f>원본자료!F303</x:f>
        <x:v>0.225</x:v>
      </x:c>
      <x:c r="B317" t="n">
        <x:f>원본자료!G303</x:f>
        <x:v>1.02</x:v>
      </x:c>
      <x:c r="C317" t="n">
        <x:f>원본자료!I303</x:f>
        <x:v>2.891133866133867</x:v>
      </x:c>
      <x:c r="D317" t="n">
        <x:f>원본자료!J303</x:f>
        <x:v>-2.55280969031201</x:v>
      </x:c>
    </x:row>
    <x:row r="318">
      <x:c r="A318" t="n">
        <x:f>원본자료!F304</x:f>
        <x:v>0.25</x:v>
      </x:c>
      <x:c r="B318" t="n">
        <x:f>원본자료!G304</x:f>
        <x:v>1.62</x:v>
      </x:c>
      <x:c r="C318" t="n">
        <x:f>원본자료!I304</x:f>
        <x:v>5.932823176823174</x:v>
      </x:c>
      <x:c r="D318" t="n">
        <x:f>원본자료!J304</x:f>
        <x:v>-1.6886978022012968</x:v>
      </x:c>
    </x:row>
    <x:row r="319">
      <x:c r="A319" t="n">
        <x:f>원본자료!F305</x:f>
        <x:v>0.275</x:v>
      </x:c>
      <x:c r="B319" t="n">
        <x:f>원본자료!G305</x:f>
        <x:v>2.63</x:v>
      </x:c>
      <x:c r="C319" t="n">
        <x:f>원본자료!I305</x:f>
        <x:v>8.974512487512484</x:v>
      </x:c>
      <x:c r="D319" t="n">
        <x:f>원본자료!J305</x:f>
        <x:v>0.2642027971986636</x:v>
      </x:c>
    </x:row>
    <x:row r="320">
      <x:c r="A320" t="n">
        <x:f>원본자료!F306</x:f>
        <x:v>0.3</x:v>
      </x:c>
      <x:c r="B320" t="n">
        <x:f>원본자료!G306</x:f>
        <x:v>4.15</x:v>
      </x:c>
      <x:c r="C320" t="n">
        <x:f>원본자료!I306</x:f>
        <x:v>12.016201798201784</x:v>
      </x:c>
      <x:c r="D320" t="n">
        <x:f>원본자료!J306</x:f>
        <x:v>3.305892107887857</x:v>
      </x:c>
    </x:row>
    <x:row r="321">
      <x:c r="A321" t="n">
        <x:f>원본자료!F307</x:f>
        <x:v>0.325</x:v>
      </x:c>
      <x:c r="B321" t="n">
        <x:f>원본자료!G307</x:f>
        <x:v>6</x:v>
      </x:c>
      <x:c r="C321" t="n">
        <x:f>원본자료!I307</x:f>
        <x:v>15.057891108891098</x:v>
      </x:c>
      <x:c r="D321" t="n">
        <x:f>원본자료!J307</x:f>
        <x:v>7.4363701298663045</x:v>
      </x:c>
    </x:row>
    <x:row r="322">
      <x:c r="A322" t="n">
        <x:f>원본자료!F308</x:f>
        <x:v>0.35</x:v>
      </x:c>
      <x:c r="B322" t="n">
        <x:f>원본자료!G308</x:f>
        <x:v>8.47</x:v>
      </x:c>
      <x:c r="C322" t="n">
        <x:f>원본자료!I308</x:f>
        <x:v>18.0995804195804</x:v>
      </x:c>
      <x:c r="D322" t="n">
        <x:f>원본자료!J308</x:f>
        <x:v>12.655636863133978</x:v>
      </x:c>
    </x:row>
    <x:row r="323">
      <x:c r="A323" t="n">
        <x:f>원본자료!F309</x:f>
        <x:v>0.375</x:v>
      </x:c>
      <x:c r="B323" t="n">
        <x:f>원본자료!G309</x:f>
        <x:v>12.27</x:v>
      </x:c>
      <x:c r="C323" t="n">
        <x:f>원본자료!I309</x:f>
        <x:v>21.141269730269713</x:v>
      </x:c>
      <x:c r="D323" t="n">
        <x:f>원본자료!J309</x:f>
        <x:v>18.96369230769092</x:v>
      </x:c>
    </x:row>
    <x:row r="324">
      <x:c r="A324" t="n">
        <x:f>원본자료!F310</x:f>
        <x:v>0.4</x:v>
      </x:c>
      <x:c r="B324" t="n">
        <x:f>원본자료!G310</x:f>
        <x:v>19.59</x:v>
      </x:c>
      <x:c r="C324" t="n">
        <x:f>원본자료!I310</x:f>
        <x:v>24.18295904095902</x:v>
      </x:c>
      <x:c r="D324" t="n">
        <x:f>원본자료!J310</x:f>
        <x:v>26.360536463537102</x:v>
      </x:c>
    </x:row>
    <x:row r="325">
      <x:c r="A325" t="n">
        <x:f>원본자료!F311</x:f>
        <x:v>0.425</x:v>
      </x:c>
      <x:c r="B325" t="n">
        <x:f>원본자료!G311</x:f>
        <x:v>30.48</x:v>
      </x:c>
      <x:c r="C325" t="n">
        <x:f>원본자료!I311</x:f>
        <x:v>27.224648351648327</x:v>
      </x:c>
      <x:c r="D325" t="n">
        <x:f>원본자료!J311</x:f>
        <x:v>34.846169330672495</x:v>
      </x:c>
    </x:row>
    <x:row r="326">
      <x:c r="A326" t="n">
        <x:f>원본자료!F312</x:f>
        <x:v>0.45</x:v>
      </x:c>
      <x:c r="B326" t="n">
        <x:f>원본자료!G312</x:f>
        <x:v>46.66</x:v>
      </x:c>
      <x:c r="C326" t="n">
        <x:f>원본자료!I312</x:f>
        <x:v>30.266337662337634</x:v>
      </x:c>
      <x:c r="D326" t="n">
        <x:f>원본자료!J312</x:f>
        <x:v>44.42059090909717</x:v>
      </x:c>
    </x:row>
  </x:sheetData>
  <x:pageMargins left="0.7" right="0.7" top="0.75" bottom="0.75" header="0.3" footer="0.3"/>
  <x:drawing xmlns:r="http://schemas.openxmlformats.org/officeDocument/2006/relationships" r:id="Rd280dbc2512f4eb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2" t="str">
        <x:v>Yacht Hydrodynamics · Delft 선체 실험 원본 308건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t="str">
        <x:v>출처: Gerritsma, Onnink &amp; Versluis (1981), UCI Machine Learning Repository, DOI 10.24432/C5XG7R · CC BY 4.0</x:v>
      </x:c>
    </x:row>
    <x:row r="3">
      <x:c r="A3" t="str">
        <x:v>https://archive.ics.uci.edu/dataset/243/yacht+hydrodynamics</x:v>
      </x:c>
    </x:row>
    <x:row r="4">
      <x:c r="A4" s="4" t="str">
        <x:v>부력중심 위치</x:v>
      </x:c>
      <x:c r="B4" s="4" t="str">
        <x:v>주형계수</x:v>
      </x:c>
      <x:c r="C4" s="4" t="str">
        <x:v>길이/배수량</x:v>
      </x:c>
      <x:c r="D4" s="4" t="str">
        <x:v>폭/흘수</x:v>
      </x:c>
      <x:c r="E4" s="4" t="str">
        <x:v>길이/폭</x:v>
      </x:c>
      <x:c r="F4" s="4" t="str">
        <x:v>프루드 수 X</x:v>
      </x:c>
      <x:c r="G4" s="4" t="str">
        <x:v>잔여저항/배수중량 Y</x:v>
      </x:c>
      <x:c r="H4" s="4" t="str">
        <x:v>X²</x:v>
      </x:c>
      <x:c r="I4" s="4" t="str">
        <x:v>선형 예측</x:v>
      </x:c>
      <x:c r="J4" s="4" t="str">
        <x:v>2차 예측</x:v>
      </x:c>
    </x:row>
    <x:row r="5">
      <x:c r="A5" s="6" t="n">
        <x:v>-2.3</x:v>
      </x:c>
      <x:c r="B5" s="6" t="n">
        <x:v>0.568</x:v>
      </x:c>
      <x:c r="C5" s="6" t="n">
        <x:v>4.78</x:v>
      </x:c>
      <x:c r="D5" s="6" t="n">
        <x:v>3.99</x:v>
      </x:c>
      <x:c r="E5" s="6" t="n">
        <x:v>3.17</x:v>
      </x:c>
      <x:c r="F5" s="6" t="n">
        <x:v>0.125</x:v>
      </x:c>
      <x:c r="G5" s="6" t="n">
        <x:v>0.11</x:v>
      </x:c>
      <x:c r="H5" s="6" t="n">
        <x:v>0.015625</x:v>
      </x:c>
      <x:c r="I5" s="6" t="n">
        <x:f>'회귀분석'!$B$7+'회귀분석'!$B$6*F5</x:f>
        <x:v>-9.275623376623363</x:v>
      </x:c>
      <x:c r="J5" s="6" t="n">
        <x:f>'회귀분석'!$E$7+'회귀분석'!$E$6*F5+'회귀분석'!$E$5*H5</x:f>
        <x:v>4.878629870137585</x:v>
      </x:c>
    </x:row>
    <x:row r="6">
      <x:c r="A6" s="6" t="n">
        <x:v>-2.3</x:v>
      </x:c>
      <x:c r="B6" s="6" t="n">
        <x:v>0.568</x:v>
      </x:c>
      <x:c r="C6" s="6" t="n">
        <x:v>4.78</x:v>
      </x:c>
      <x:c r="D6" s="6" t="n">
        <x:v>3.99</x:v>
      </x:c>
      <x:c r="E6" s="6" t="n">
        <x:v>3.17</x:v>
      </x:c>
      <x:c r="F6" s="6" t="n">
        <x:v>0.15</x:v>
      </x:c>
      <x:c r="G6" s="6" t="n">
        <x:v>0.27</x:v>
      </x:c>
      <x:c r="H6" s="6" t="n">
        <x:v>0.0225</x:v>
      </x:c>
      <x:c r="I6" s="6" t="n">
        <x:f>'회귀분석'!$B$7+'회귀분석'!$B$6*F6</x:f>
        <x:v>-6.233934065934058</x:v>
      </x:c>
      <x:c r="J6" s="6" t="n">
        <x:f>'회귀분석'!$E$7+'회귀분석'!$E$6*F6+'회귀분석'!$E$5*H6</x:f>
        <x:v>1.3875869130913223</x:v>
      </x:c>
    </x:row>
    <x:row r="7">
      <x:c r="A7" s="6" t="n">
        <x:v>-2.3</x:v>
      </x:c>
      <x:c r="B7" s="6" t="n">
        <x:v>0.568</x:v>
      </x:c>
      <x:c r="C7" s="6" t="n">
        <x:v>4.78</x:v>
      </x:c>
      <x:c r="D7" s="6" t="n">
        <x:v>3.99</x:v>
      </x:c>
      <x:c r="E7" s="6" t="n">
        <x:v>3.17</x:v>
      </x:c>
      <x:c r="F7" s="6" t="n">
        <x:v>0.175</x:v>
      </x:c>
      <x:c r="G7" s="6" t="n">
        <x:v>0.47</x:v>
      </x:c>
      <x:c r="H7" s="6" t="n">
        <x:v>0.030624999999999996</x:v>
      </x:c>
      <x:c r="I7" s="6" t="n">
        <x:f>'회귀분석'!$B$7+'회귀분석'!$B$6*F7</x:f>
        <x:v>-3.192244755244751</x:v>
      </x:c>
      <x:c r="J7" s="6" t="n">
        <x:f>'회귀분석'!$E$7+'회귀분석'!$E$6*F7+'회귀분석'!$E$5*H7</x:f>
        <x:v>-1.0146673326656988</x:v>
      </x:c>
    </x:row>
    <x:row r="8">
      <x:c r="A8" s="6" t="n">
        <x:v>-2.3</x:v>
      </x:c>
      <x:c r="B8" s="6" t="n">
        <x:v>0.568</x:v>
      </x:c>
      <x:c r="C8" s="6" t="n">
        <x:v>4.78</x:v>
      </x:c>
      <x:c r="D8" s="6" t="n">
        <x:v>3.99</x:v>
      </x:c>
      <x:c r="E8" s="6" t="n">
        <x:v>3.17</x:v>
      </x:c>
      <x:c r="F8" s="6" t="n">
        <x:v>0.2</x:v>
      </x:c>
      <x:c r="G8" s="6" t="n">
        <x:v>0.78</x:v>
      </x:c>
      <x:c r="H8" s="6" t="n">
        <x:v>0.04000000000000001</x:v>
      </x:c>
      <x:c r="I8" s="6" t="n">
        <x:f>'회귀분석'!$B$7+'회귀분석'!$B$6*F8</x:f>
        <x:v>-0.15055544455544023</x:v>
      </x:c>
      <x:c r="J8" s="6" t="n">
        <x:f>'회귀분석'!$E$7+'회귀분석'!$E$6*F8+'회귀분석'!$E$5*H8</x:f>
        <x:v>-2.3281328671334762</x:v>
      </x:c>
    </x:row>
    <x:row r="9">
      <x:c r="A9" s="6" t="n">
        <x:v>-2.3</x:v>
      </x:c>
      <x:c r="B9" s="6" t="n">
        <x:v>0.568</x:v>
      </x:c>
      <x:c r="C9" s="6" t="n">
        <x:v>4.78</x:v>
      </x:c>
      <x:c r="D9" s="6" t="n">
        <x:v>3.99</x:v>
      </x:c>
      <x:c r="E9" s="6" t="n">
        <x:v>3.17</x:v>
      </x:c>
      <x:c r="F9" s="6" t="n">
        <x:v>0.225</x:v>
      </x:c>
      <x:c r="G9" s="6" t="n">
        <x:v>1.18</x:v>
      </x:c>
      <x:c r="H9" s="6" t="n">
        <x:v>0.050625</x:v>
      </x:c>
      <x:c r="I9" s="6" t="n">
        <x:f>'회귀분석'!$B$7+'회귀분석'!$B$6*F9</x:f>
        <x:v>2.891133866133867</x:v>
      </x:c>
      <x:c r="J9" s="6" t="n">
        <x:f>'회귀분석'!$E$7+'회귀분석'!$E$6*F9+'회귀분석'!$E$5*H9</x:f>
        <x:v>-2.55280969031201</x:v>
      </x:c>
    </x:row>
    <x:row r="10">
      <x:c r="A10" s="6" t="n">
        <x:v>-2.3</x:v>
      </x:c>
      <x:c r="B10" s="6" t="n">
        <x:v>0.568</x:v>
      </x:c>
      <x:c r="C10" s="6" t="n">
        <x:v>4.78</x:v>
      </x:c>
      <x:c r="D10" s="6" t="n">
        <x:v>3.99</x:v>
      </x:c>
      <x:c r="E10" s="6" t="n">
        <x:v>3.17</x:v>
      </x:c>
      <x:c r="F10" s="6" t="n">
        <x:v>0.25</x:v>
      </x:c>
      <x:c r="G10" s="6" t="n">
        <x:v>1.82</x:v>
      </x:c>
      <x:c r="H10" s="6" t="n">
        <x:v>0.0625</x:v>
      </x:c>
      <x:c r="I10" s="6" t="n">
        <x:f>'회귀분석'!$B$7+'회귀분석'!$B$6*F10</x:f>
        <x:v>5.932823176823174</x:v>
      </x:c>
      <x:c r="J10" s="6" t="n">
        <x:f>'회귀분석'!$E$7+'회귀분석'!$E$6*F10+'회귀분석'!$E$5*H10</x:f>
        <x:v>-1.6886978022012968</x:v>
      </x:c>
    </x:row>
    <x:row r="11">
      <x:c r="A11" s="6" t="n">
        <x:v>-2.3</x:v>
      </x:c>
      <x:c r="B11" s="6" t="n">
        <x:v>0.568</x:v>
      </x:c>
      <x:c r="C11" s="6" t="n">
        <x:v>4.78</x:v>
      </x:c>
      <x:c r="D11" s="6" t="n">
        <x:v>3.99</x:v>
      </x:c>
      <x:c r="E11" s="6" t="n">
        <x:v>3.17</x:v>
      </x:c>
      <x:c r="F11" s="6" t="n">
        <x:v>0.275</x:v>
      </x:c>
      <x:c r="G11" s="6" t="n">
        <x:v>2.61</x:v>
      </x:c>
      <x:c r="H11" s="6" t="n">
        <x:v>0.07562500000000001</x:v>
      </x:c>
      <x:c r="I11" s="6" t="n">
        <x:f>'회귀분석'!$B$7+'회귀분석'!$B$6*F11</x:f>
        <x:v>8.974512487512484</x:v>
      </x:c>
      <x:c r="J11" s="6" t="n">
        <x:f>'회귀분석'!$E$7+'회귀분석'!$E$6*F11+'회귀분석'!$E$5*H11</x:f>
        <x:v>0.2642027971986636</x:v>
      </x:c>
    </x:row>
    <x:row r="12">
      <x:c r="A12" s="6" t="n">
        <x:v>-2.3</x:v>
      </x:c>
      <x:c r="B12" s="6" t="n">
        <x:v>0.568</x:v>
      </x:c>
      <x:c r="C12" s="6" t="n">
        <x:v>4.78</x:v>
      </x:c>
      <x:c r="D12" s="6" t="n">
        <x:v>3.99</x:v>
      </x:c>
      <x:c r="E12" s="6" t="n">
        <x:v>3.17</x:v>
      </x:c>
      <x:c r="F12" s="6" t="n">
        <x:v>0.3</x:v>
      </x:c>
      <x:c r="G12" s="6" t="n">
        <x:v>3.76</x:v>
      </x:c>
      <x:c r="H12" s="6" t="n">
        <x:v>0.09</x:v>
      </x:c>
      <x:c r="I12" s="6" t="n">
        <x:f>'회귀분석'!$B$7+'회귀분석'!$B$6*F12</x:f>
        <x:v>12.016201798201784</x:v>
      </x:c>
      <x:c r="J12" s="6" t="n">
        <x:f>'회귀분석'!$E$7+'회귀분석'!$E$6*F12+'회귀분석'!$E$5*H12</x:f>
        <x:v>3.305892107887857</x:v>
      </x:c>
    </x:row>
    <x:row r="13">
      <x:c r="A13" s="6" t="n">
        <x:v>-2.3</x:v>
      </x:c>
      <x:c r="B13" s="6" t="n">
        <x:v>0.568</x:v>
      </x:c>
      <x:c r="C13" s="6" t="n">
        <x:v>4.78</x:v>
      </x:c>
      <x:c r="D13" s="6" t="n">
        <x:v>3.99</x:v>
      </x:c>
      <x:c r="E13" s="6" t="n">
        <x:v>3.17</x:v>
      </x:c>
      <x:c r="F13" s="6" t="n">
        <x:v>0.325</x:v>
      </x:c>
      <x:c r="G13" s="6" t="n">
        <x:v>4.99</x:v>
      </x:c>
      <x:c r="H13" s="6" t="n">
        <x:v>0.10562500000000001</x:v>
      </x:c>
      <x:c r="I13" s="6" t="n">
        <x:f>'회귀분석'!$B$7+'회귀분석'!$B$6*F13</x:f>
        <x:v>15.057891108891098</x:v>
      </x:c>
      <x:c r="J13" s="6" t="n">
        <x:f>'회귀분석'!$E$7+'회귀분석'!$E$6*F13+'회귀분석'!$E$5*H13</x:f>
        <x:v>7.4363701298663045</x:v>
      </x:c>
    </x:row>
    <x:row r="14">
      <x:c r="A14" s="6" t="n">
        <x:v>-2.3</x:v>
      </x:c>
      <x:c r="B14" s="6" t="n">
        <x:v>0.568</x:v>
      </x:c>
      <x:c r="C14" s="6" t="n">
        <x:v>4.78</x:v>
      </x:c>
      <x:c r="D14" s="6" t="n">
        <x:v>3.99</x:v>
      </x:c>
      <x:c r="E14" s="6" t="n">
        <x:v>3.17</x:v>
      </x:c>
      <x:c r="F14" s="6" t="n">
        <x:v>0.35</x:v>
      </x:c>
      <x:c r="G14" s="6" t="n">
        <x:v>7.16</x:v>
      </x:c>
      <x:c r="H14" s="6" t="n">
        <x:v>0.12249999999999998</x:v>
      </x:c>
      <x:c r="I14" s="6" t="n">
        <x:f>'회귀분석'!$B$7+'회귀분석'!$B$6*F14</x:f>
        <x:v>18.0995804195804</x:v>
      </x:c>
      <x:c r="J14" s="6" t="n">
        <x:f>'회귀분석'!$E$7+'회귀분석'!$E$6*F14+'회귀분석'!$E$5*H14</x:f>
        <x:v>12.655636863133978</x:v>
      </x:c>
    </x:row>
    <x:row r="15">
      <x:c r="A15" s="6" t="n">
        <x:v>-2.3</x:v>
      </x:c>
      <x:c r="B15" s="6" t="n">
        <x:v>0.568</x:v>
      </x:c>
      <x:c r="C15" s="6" t="n">
        <x:v>4.78</x:v>
      </x:c>
      <x:c r="D15" s="6" t="n">
        <x:v>3.99</x:v>
      </x:c>
      <x:c r="E15" s="6" t="n">
        <x:v>3.17</x:v>
      </x:c>
      <x:c r="F15" s="6" t="n">
        <x:v>0.375</x:v>
      </x:c>
      <x:c r="G15" s="6" t="n">
        <x:v>11.93</x:v>
      </x:c>
      <x:c r="H15" s="6" t="n">
        <x:v>0.140625</x:v>
      </x:c>
      <x:c r="I15" s="6" t="n">
        <x:f>'회귀분석'!$B$7+'회귀분석'!$B$6*F15</x:f>
        <x:v>21.141269730269713</x:v>
      </x:c>
      <x:c r="J15" s="6" t="n">
        <x:f>'회귀분석'!$E$7+'회귀분석'!$E$6*F15+'회귀분석'!$E$5*H15</x:f>
        <x:v>18.96369230769092</x:v>
      </x:c>
    </x:row>
    <x:row r="16">
      <x:c r="A16" s="6" t="n">
        <x:v>-2.3</x:v>
      </x:c>
      <x:c r="B16" s="6" t="n">
        <x:v>0.568</x:v>
      </x:c>
      <x:c r="C16" s="6" t="n">
        <x:v>4.78</x:v>
      </x:c>
      <x:c r="D16" s="6" t="n">
        <x:v>3.99</x:v>
      </x:c>
      <x:c r="E16" s="6" t="n">
        <x:v>3.17</x:v>
      </x:c>
      <x:c r="F16" s="6" t="n">
        <x:v>0.4</x:v>
      </x:c>
      <x:c r="G16" s="6" t="n">
        <x:v>20.11</x:v>
      </x:c>
      <x:c r="H16" s="6" t="n">
        <x:v>0.16000000000000003</x:v>
      </x:c>
      <x:c r="I16" s="6" t="n">
        <x:f>'회귀분석'!$B$7+'회귀분석'!$B$6*F16</x:f>
        <x:v>24.18295904095902</x:v>
      </x:c>
      <x:c r="J16" s="6" t="n">
        <x:f>'회귀분석'!$E$7+'회귀분석'!$E$6*F16+'회귀분석'!$E$5*H16</x:f>
        <x:v>26.360536463537102</x:v>
      </x:c>
    </x:row>
    <x:row r="17">
      <x:c r="A17" s="6" t="n">
        <x:v>-2.3</x:v>
      </x:c>
      <x:c r="B17" s="6" t="n">
        <x:v>0.568</x:v>
      </x:c>
      <x:c r="C17" s="6" t="n">
        <x:v>4.78</x:v>
      </x:c>
      <x:c r="D17" s="6" t="n">
        <x:v>3.99</x:v>
      </x:c>
      <x:c r="E17" s="6" t="n">
        <x:v>3.17</x:v>
      </x:c>
      <x:c r="F17" s="6" t="n">
        <x:v>0.425</x:v>
      </x:c>
      <x:c r="G17" s="6" t="n">
        <x:v>32.75</x:v>
      </x:c>
      <x:c r="H17" s="6" t="n">
        <x:v>0.18062499999999998</x:v>
      </x:c>
      <x:c r="I17" s="6" t="n">
        <x:f>'회귀분석'!$B$7+'회귀분석'!$B$6*F17</x:f>
        <x:v>27.224648351648327</x:v>
      </x:c>
      <x:c r="J17" s="6" t="n">
        <x:f>'회귀분석'!$E$7+'회귀분석'!$E$6*F17+'회귀분석'!$E$5*H17</x:f>
        <x:v>34.846169330672495</x:v>
      </x:c>
    </x:row>
    <x:row r="18">
      <x:c r="A18" s="6" t="n">
        <x:v>-2.3</x:v>
      </x:c>
      <x:c r="B18" s="6" t="n">
        <x:v>0.568</x:v>
      </x:c>
      <x:c r="C18" s="6" t="n">
        <x:v>4.78</x:v>
      </x:c>
      <x:c r="D18" s="6" t="n">
        <x:v>3.99</x:v>
      </x:c>
      <x:c r="E18" s="6" t="n">
        <x:v>3.17</x:v>
      </x:c>
      <x:c r="F18" s="6" t="n">
        <x:v>0.45</x:v>
      </x:c>
      <x:c r="G18" s="6" t="n">
        <x:v>49.49</x:v>
      </x:c>
      <x:c r="H18" s="6" t="n">
        <x:v>0.2025</x:v>
      </x:c>
      <x:c r="I18" s="6" t="n">
        <x:f>'회귀분석'!$B$7+'회귀분석'!$B$6*F18</x:f>
        <x:v>30.266337662337634</x:v>
      </x:c>
      <x:c r="J18" s="6" t="n">
        <x:f>'회귀분석'!$E$7+'회귀분석'!$E$6*F18+'회귀분석'!$E$5*H18</x:f>
        <x:v>44.42059090909717</x:v>
      </x:c>
    </x:row>
    <x:row r="19">
      <x:c r="A19" s="6" t="n">
        <x:v>-2.3</x:v>
      </x:c>
      <x:c r="B19" s="6" t="n">
        <x:v>0.569</x:v>
      </x:c>
      <x:c r="C19" s="6" t="n">
        <x:v>4.78</x:v>
      </x:c>
      <x:c r="D19" s="6" t="n">
        <x:v>3.04</x:v>
      </x:c>
      <x:c r="E19" s="6" t="n">
        <x:v>3.64</x:v>
      </x:c>
      <x:c r="F19" s="6" t="n">
        <x:v>0.125</x:v>
      </x:c>
      <x:c r="G19" s="6" t="n">
        <x:v>0.04</x:v>
      </x:c>
      <x:c r="H19" s="6" t="n">
        <x:v>0.015625</x:v>
      </x:c>
      <x:c r="I19" s="6" t="n">
        <x:f>'회귀분석'!$B$7+'회귀분석'!$B$6*F19</x:f>
        <x:v>-9.275623376623363</x:v>
      </x:c>
      <x:c r="J19" s="6" t="n">
        <x:f>'회귀분석'!$E$7+'회귀분석'!$E$6*F19+'회귀분석'!$E$5*H19</x:f>
        <x:v>4.878629870137585</x:v>
      </x:c>
    </x:row>
    <x:row r="20">
      <x:c r="A20" s="6" t="n">
        <x:v>-2.3</x:v>
      </x:c>
      <x:c r="B20" s="6" t="n">
        <x:v>0.569</x:v>
      </x:c>
      <x:c r="C20" s="6" t="n">
        <x:v>4.78</x:v>
      </x:c>
      <x:c r="D20" s="6" t="n">
        <x:v>3.04</x:v>
      </x:c>
      <x:c r="E20" s="6" t="n">
        <x:v>3.64</x:v>
      </x:c>
      <x:c r="F20" s="6" t="n">
        <x:v>0.15</x:v>
      </x:c>
      <x:c r="G20" s="6" t="n">
        <x:v>0.17</x:v>
      </x:c>
      <x:c r="H20" s="6" t="n">
        <x:v>0.0225</x:v>
      </x:c>
      <x:c r="I20" s="6" t="n">
        <x:f>'회귀분석'!$B$7+'회귀분석'!$B$6*F20</x:f>
        <x:v>-6.233934065934058</x:v>
      </x:c>
      <x:c r="J20" s="6" t="n">
        <x:f>'회귀분석'!$E$7+'회귀분석'!$E$6*F20+'회귀분석'!$E$5*H20</x:f>
        <x:v>1.3875869130913223</x:v>
      </x:c>
    </x:row>
    <x:row r="21">
      <x:c r="A21" s="6" t="n">
        <x:v>-2.3</x:v>
      </x:c>
      <x:c r="B21" s="6" t="n">
        <x:v>0.569</x:v>
      </x:c>
      <x:c r="C21" s="6" t="n">
        <x:v>4.78</x:v>
      </x:c>
      <x:c r="D21" s="6" t="n">
        <x:v>3.04</x:v>
      </x:c>
      <x:c r="E21" s="6" t="n">
        <x:v>3.64</x:v>
      </x:c>
      <x:c r="F21" s="6" t="n">
        <x:v>0.175</x:v>
      </x:c>
      <x:c r="G21" s="6" t="n">
        <x:v>0.37</x:v>
      </x:c>
      <x:c r="H21" s="6" t="n">
        <x:v>0.030624999999999996</x:v>
      </x:c>
      <x:c r="I21" s="6" t="n">
        <x:f>'회귀분석'!$B$7+'회귀분석'!$B$6*F21</x:f>
        <x:v>-3.192244755244751</x:v>
      </x:c>
      <x:c r="J21" s="6" t="n">
        <x:f>'회귀분석'!$E$7+'회귀분석'!$E$6*F21+'회귀분석'!$E$5*H21</x:f>
        <x:v>-1.0146673326656988</x:v>
      </x:c>
    </x:row>
    <x:row r="22">
      <x:c r="A22" s="6" t="n">
        <x:v>-2.3</x:v>
      </x:c>
      <x:c r="B22" s="6" t="n">
        <x:v>0.569</x:v>
      </x:c>
      <x:c r="C22" s="6" t="n">
        <x:v>4.78</x:v>
      </x:c>
      <x:c r="D22" s="6" t="n">
        <x:v>3.04</x:v>
      </x:c>
      <x:c r="E22" s="6" t="n">
        <x:v>3.64</x:v>
      </x:c>
      <x:c r="F22" s="6" t="n">
        <x:v>0.2</x:v>
      </x:c>
      <x:c r="G22" s="6" t="n">
        <x:v>0.66</x:v>
      </x:c>
      <x:c r="H22" s="6" t="n">
        <x:v>0.04000000000000001</x:v>
      </x:c>
      <x:c r="I22" s="6" t="n">
        <x:f>'회귀분석'!$B$7+'회귀분석'!$B$6*F22</x:f>
        <x:v>-0.15055544455544023</x:v>
      </x:c>
      <x:c r="J22" s="6" t="n">
        <x:f>'회귀분석'!$E$7+'회귀분석'!$E$6*F22+'회귀분석'!$E$5*H22</x:f>
        <x:v>-2.3281328671334762</x:v>
      </x:c>
    </x:row>
    <x:row r="23">
      <x:c r="A23" s="6" t="n">
        <x:v>-2.3</x:v>
      </x:c>
      <x:c r="B23" s="6" t="n">
        <x:v>0.569</x:v>
      </x:c>
      <x:c r="C23" s="6" t="n">
        <x:v>4.78</x:v>
      </x:c>
      <x:c r="D23" s="6" t="n">
        <x:v>3.04</x:v>
      </x:c>
      <x:c r="E23" s="6" t="n">
        <x:v>3.64</x:v>
      </x:c>
      <x:c r="F23" s="6" t="n">
        <x:v>0.225</x:v>
      </x:c>
      <x:c r="G23" s="6" t="n">
        <x:v>1.06</x:v>
      </x:c>
      <x:c r="H23" s="6" t="n">
        <x:v>0.050625</x:v>
      </x:c>
      <x:c r="I23" s="6" t="n">
        <x:f>'회귀분석'!$B$7+'회귀분석'!$B$6*F23</x:f>
        <x:v>2.891133866133867</x:v>
      </x:c>
      <x:c r="J23" s="6" t="n">
        <x:f>'회귀분석'!$E$7+'회귀분석'!$E$6*F23+'회귀분석'!$E$5*H23</x:f>
        <x:v>-2.55280969031201</x:v>
      </x:c>
    </x:row>
    <x:row r="24">
      <x:c r="A24" s="6" t="n">
        <x:v>-2.3</x:v>
      </x:c>
      <x:c r="B24" s="6" t="n">
        <x:v>0.569</x:v>
      </x:c>
      <x:c r="C24" s="6" t="n">
        <x:v>4.78</x:v>
      </x:c>
      <x:c r="D24" s="6" t="n">
        <x:v>3.04</x:v>
      </x:c>
      <x:c r="E24" s="6" t="n">
        <x:v>3.64</x:v>
      </x:c>
      <x:c r="F24" s="6" t="n">
        <x:v>0.25</x:v>
      </x:c>
      <x:c r="G24" s="6" t="n">
        <x:v>1.59</x:v>
      </x:c>
      <x:c r="H24" s="6" t="n">
        <x:v>0.0625</x:v>
      </x:c>
      <x:c r="I24" s="6" t="n">
        <x:f>'회귀분석'!$B$7+'회귀분석'!$B$6*F24</x:f>
        <x:v>5.932823176823174</x:v>
      </x:c>
      <x:c r="J24" s="6" t="n">
        <x:f>'회귀분석'!$E$7+'회귀분석'!$E$6*F24+'회귀분석'!$E$5*H24</x:f>
        <x:v>-1.6886978022012968</x:v>
      </x:c>
    </x:row>
    <x:row r="25">
      <x:c r="A25" s="6" t="n">
        <x:v>-2.3</x:v>
      </x:c>
      <x:c r="B25" s="6" t="n">
        <x:v>0.569</x:v>
      </x:c>
      <x:c r="C25" s="6" t="n">
        <x:v>4.78</x:v>
      </x:c>
      <x:c r="D25" s="6" t="n">
        <x:v>3.04</x:v>
      </x:c>
      <x:c r="E25" s="6" t="n">
        <x:v>3.64</x:v>
      </x:c>
      <x:c r="F25" s="6" t="n">
        <x:v>0.275</x:v>
      </x:c>
      <x:c r="G25" s="6" t="n">
        <x:v>2.33</x:v>
      </x:c>
      <x:c r="H25" s="6" t="n">
        <x:v>0.07562500000000001</x:v>
      </x:c>
      <x:c r="I25" s="6" t="n">
        <x:f>'회귀분석'!$B$7+'회귀분석'!$B$6*F25</x:f>
        <x:v>8.974512487512484</x:v>
      </x:c>
      <x:c r="J25" s="6" t="n">
        <x:f>'회귀분석'!$E$7+'회귀분석'!$E$6*F25+'회귀분석'!$E$5*H25</x:f>
        <x:v>0.2642027971986636</x:v>
      </x:c>
    </x:row>
    <x:row r="26">
      <x:c r="A26" s="6" t="n">
        <x:v>-2.3</x:v>
      </x:c>
      <x:c r="B26" s="6" t="n">
        <x:v>0.569</x:v>
      </x:c>
      <x:c r="C26" s="6" t="n">
        <x:v>4.78</x:v>
      </x:c>
      <x:c r="D26" s="6" t="n">
        <x:v>3.04</x:v>
      </x:c>
      <x:c r="E26" s="6" t="n">
        <x:v>3.64</x:v>
      </x:c>
      <x:c r="F26" s="6" t="n">
        <x:v>0.3</x:v>
      </x:c>
      <x:c r="G26" s="6" t="n">
        <x:v>3.29</x:v>
      </x:c>
      <x:c r="H26" s="6" t="n">
        <x:v>0.09</x:v>
      </x:c>
      <x:c r="I26" s="6" t="n">
        <x:f>'회귀분석'!$B$7+'회귀분석'!$B$6*F26</x:f>
        <x:v>12.016201798201784</x:v>
      </x:c>
      <x:c r="J26" s="6" t="n">
        <x:f>'회귀분석'!$E$7+'회귀분석'!$E$6*F26+'회귀분석'!$E$5*H26</x:f>
        <x:v>3.305892107887857</x:v>
      </x:c>
    </x:row>
    <x:row r="27">
      <x:c r="A27" s="6" t="n">
        <x:v>-2.3</x:v>
      </x:c>
      <x:c r="B27" s="6" t="n">
        <x:v>0.569</x:v>
      </x:c>
      <x:c r="C27" s="6" t="n">
        <x:v>4.78</x:v>
      </x:c>
      <x:c r="D27" s="6" t="n">
        <x:v>3.04</x:v>
      </x:c>
      <x:c r="E27" s="6" t="n">
        <x:v>3.64</x:v>
      </x:c>
      <x:c r="F27" s="6" t="n">
        <x:v>0.325</x:v>
      </x:c>
      <x:c r="G27" s="6" t="n">
        <x:v>4.61</x:v>
      </x:c>
      <x:c r="H27" s="6" t="n">
        <x:v>0.10562500000000001</x:v>
      </x:c>
      <x:c r="I27" s="6" t="n">
        <x:f>'회귀분석'!$B$7+'회귀분석'!$B$6*F27</x:f>
        <x:v>15.057891108891098</x:v>
      </x:c>
      <x:c r="J27" s="6" t="n">
        <x:f>'회귀분석'!$E$7+'회귀분석'!$E$6*F27+'회귀분석'!$E$5*H27</x:f>
        <x:v>7.4363701298663045</x:v>
      </x:c>
    </x:row>
    <x:row r="28">
      <x:c r="A28" s="6" t="n">
        <x:v>-2.3</x:v>
      </x:c>
      <x:c r="B28" s="6" t="n">
        <x:v>0.569</x:v>
      </x:c>
      <x:c r="C28" s="6" t="n">
        <x:v>4.78</x:v>
      </x:c>
      <x:c r="D28" s="6" t="n">
        <x:v>3.04</x:v>
      </x:c>
      <x:c r="E28" s="6" t="n">
        <x:v>3.64</x:v>
      </x:c>
      <x:c r="F28" s="6" t="n">
        <x:v>0.35</x:v>
      </x:c>
      <x:c r="G28" s="6" t="n">
        <x:v>7.11</x:v>
      </x:c>
      <x:c r="H28" s="6" t="n">
        <x:v>0.12249999999999998</x:v>
      </x:c>
      <x:c r="I28" s="6" t="n">
        <x:f>'회귀분석'!$B$7+'회귀분석'!$B$6*F28</x:f>
        <x:v>18.0995804195804</x:v>
      </x:c>
      <x:c r="J28" s="6" t="n">
        <x:f>'회귀분석'!$E$7+'회귀분석'!$E$6*F28+'회귀분석'!$E$5*H28</x:f>
        <x:v>12.655636863133978</x:v>
      </x:c>
    </x:row>
    <x:row r="29">
      <x:c r="A29" s="6" t="n">
        <x:v>-2.3</x:v>
      </x:c>
      <x:c r="B29" s="6" t="n">
        <x:v>0.569</x:v>
      </x:c>
      <x:c r="C29" s="6" t="n">
        <x:v>4.78</x:v>
      </x:c>
      <x:c r="D29" s="6" t="n">
        <x:v>3.04</x:v>
      </x:c>
      <x:c r="E29" s="6" t="n">
        <x:v>3.64</x:v>
      </x:c>
      <x:c r="F29" s="6" t="n">
        <x:v>0.375</x:v>
      </x:c>
      <x:c r="G29" s="6" t="n">
        <x:v>11.99</x:v>
      </x:c>
      <x:c r="H29" s="6" t="n">
        <x:v>0.140625</x:v>
      </x:c>
      <x:c r="I29" s="6" t="n">
        <x:f>'회귀분석'!$B$7+'회귀분석'!$B$6*F29</x:f>
        <x:v>21.141269730269713</x:v>
      </x:c>
      <x:c r="J29" s="6" t="n">
        <x:f>'회귀분석'!$E$7+'회귀분석'!$E$6*F29+'회귀분석'!$E$5*H29</x:f>
        <x:v>18.96369230769092</x:v>
      </x:c>
    </x:row>
    <x:row r="30">
      <x:c r="A30" s="6" t="n">
        <x:v>-2.3</x:v>
      </x:c>
      <x:c r="B30" s="6" t="n">
        <x:v>0.569</x:v>
      </x:c>
      <x:c r="C30" s="6" t="n">
        <x:v>4.78</x:v>
      </x:c>
      <x:c r="D30" s="6" t="n">
        <x:v>3.04</x:v>
      </x:c>
      <x:c r="E30" s="6" t="n">
        <x:v>3.64</x:v>
      </x:c>
      <x:c r="F30" s="6" t="n">
        <x:v>0.4</x:v>
      </x:c>
      <x:c r="G30" s="6" t="n">
        <x:v>21.09</x:v>
      </x:c>
      <x:c r="H30" s="6" t="n">
        <x:v>0.16000000000000003</x:v>
      </x:c>
      <x:c r="I30" s="6" t="n">
        <x:f>'회귀분석'!$B$7+'회귀분석'!$B$6*F30</x:f>
        <x:v>24.18295904095902</x:v>
      </x:c>
      <x:c r="J30" s="6" t="n">
        <x:f>'회귀분석'!$E$7+'회귀분석'!$E$6*F30+'회귀분석'!$E$5*H30</x:f>
        <x:v>26.360536463537102</x:v>
      </x:c>
    </x:row>
    <x:row r="31">
      <x:c r="A31" s="6" t="n">
        <x:v>-2.3</x:v>
      </x:c>
      <x:c r="B31" s="6" t="n">
        <x:v>0.569</x:v>
      </x:c>
      <x:c r="C31" s="6" t="n">
        <x:v>4.78</x:v>
      </x:c>
      <x:c r="D31" s="6" t="n">
        <x:v>3.04</x:v>
      </x:c>
      <x:c r="E31" s="6" t="n">
        <x:v>3.64</x:v>
      </x:c>
      <x:c r="F31" s="6" t="n">
        <x:v>0.425</x:v>
      </x:c>
      <x:c r="G31" s="6" t="n">
        <x:v>35.01</x:v>
      </x:c>
      <x:c r="H31" s="6" t="n">
        <x:v>0.18062499999999998</x:v>
      </x:c>
      <x:c r="I31" s="6" t="n">
        <x:f>'회귀분석'!$B$7+'회귀분석'!$B$6*F31</x:f>
        <x:v>27.224648351648327</x:v>
      </x:c>
      <x:c r="J31" s="6" t="n">
        <x:f>'회귀분석'!$E$7+'회귀분석'!$E$6*F31+'회귀분석'!$E$5*H31</x:f>
        <x:v>34.846169330672495</x:v>
      </x:c>
    </x:row>
    <x:row r="32">
      <x:c r="A32" s="6" t="n">
        <x:v>-2.3</x:v>
      </x:c>
      <x:c r="B32" s="6" t="n">
        <x:v>0.569</x:v>
      </x:c>
      <x:c r="C32" s="6" t="n">
        <x:v>4.78</x:v>
      </x:c>
      <x:c r="D32" s="6" t="n">
        <x:v>3.04</x:v>
      </x:c>
      <x:c r="E32" s="6" t="n">
        <x:v>3.64</x:v>
      </x:c>
      <x:c r="F32" s="6" t="n">
        <x:v>0.45</x:v>
      </x:c>
      <x:c r="G32" s="6" t="n">
        <x:v>51.8</x:v>
      </x:c>
      <x:c r="H32" s="6" t="n">
        <x:v>0.2025</x:v>
      </x:c>
      <x:c r="I32" s="6" t="n">
        <x:f>'회귀분석'!$B$7+'회귀분석'!$B$6*F32</x:f>
        <x:v>30.266337662337634</x:v>
      </x:c>
      <x:c r="J32" s="6" t="n">
        <x:f>'회귀분석'!$E$7+'회귀분석'!$E$6*F32+'회귀분석'!$E$5*H32</x:f>
        <x:v>44.42059090909717</x:v>
      </x:c>
    </x:row>
    <x:row r="33">
      <x:c r="A33" s="6" t="n">
        <x:v>-2.3</x:v>
      </x:c>
      <x:c r="B33" s="6" t="n">
        <x:v>0.565</x:v>
      </x:c>
      <x:c r="C33" s="6" t="n">
        <x:v>4.78</x:v>
      </x:c>
      <x:c r="D33" s="6" t="n">
        <x:v>5.35</x:v>
      </x:c>
      <x:c r="E33" s="6" t="n">
        <x:v>2.76</x:v>
      </x:c>
      <x:c r="F33" s="6" t="n">
        <x:v>0.125</x:v>
      </x:c>
      <x:c r="G33" s="6" t="n">
        <x:v>0.09</x:v>
      </x:c>
      <x:c r="H33" s="6" t="n">
        <x:v>0.015625</x:v>
      </x:c>
      <x:c r="I33" s="6" t="n">
        <x:f>'회귀분석'!$B$7+'회귀분석'!$B$6*F33</x:f>
        <x:v>-9.275623376623363</x:v>
      </x:c>
      <x:c r="J33" s="6" t="n">
        <x:f>'회귀분석'!$E$7+'회귀분석'!$E$6*F33+'회귀분석'!$E$5*H33</x:f>
        <x:v>4.878629870137585</x:v>
      </x:c>
    </x:row>
    <x:row r="34">
      <x:c r="A34" s="6" t="n">
        <x:v>-2.3</x:v>
      </x:c>
      <x:c r="B34" s="6" t="n">
        <x:v>0.565</x:v>
      </x:c>
      <x:c r="C34" s="6" t="n">
        <x:v>4.78</x:v>
      </x:c>
      <x:c r="D34" s="6" t="n">
        <x:v>5.35</x:v>
      </x:c>
      <x:c r="E34" s="6" t="n">
        <x:v>2.76</x:v>
      </x:c>
      <x:c r="F34" s="6" t="n">
        <x:v>0.15</x:v>
      </x:c>
      <x:c r="G34" s="6" t="n">
        <x:v>0.29</x:v>
      </x:c>
      <x:c r="H34" s="6" t="n">
        <x:v>0.0225</x:v>
      </x:c>
      <x:c r="I34" s="6" t="n">
        <x:f>'회귀분석'!$B$7+'회귀분석'!$B$6*F34</x:f>
        <x:v>-6.233934065934058</x:v>
      </x:c>
      <x:c r="J34" s="6" t="n">
        <x:f>'회귀분석'!$E$7+'회귀분석'!$E$6*F34+'회귀분석'!$E$5*H34</x:f>
        <x:v>1.3875869130913223</x:v>
      </x:c>
    </x:row>
    <x:row r="35">
      <x:c r="A35" s="6" t="n">
        <x:v>-2.3</x:v>
      </x:c>
      <x:c r="B35" s="6" t="n">
        <x:v>0.565</x:v>
      </x:c>
      <x:c r="C35" s="6" t="n">
        <x:v>4.78</x:v>
      </x:c>
      <x:c r="D35" s="6" t="n">
        <x:v>5.35</x:v>
      </x:c>
      <x:c r="E35" s="6" t="n">
        <x:v>2.76</x:v>
      </x:c>
      <x:c r="F35" s="6" t="n">
        <x:v>0.175</x:v>
      </x:c>
      <x:c r="G35" s="6" t="n">
        <x:v>0.56</x:v>
      </x:c>
      <x:c r="H35" s="6" t="n">
        <x:v>0.030624999999999996</x:v>
      </x:c>
      <x:c r="I35" s="6" t="n">
        <x:f>'회귀분석'!$B$7+'회귀분석'!$B$6*F35</x:f>
        <x:v>-3.192244755244751</x:v>
      </x:c>
      <x:c r="J35" s="6" t="n">
        <x:f>'회귀분석'!$E$7+'회귀분석'!$E$6*F35+'회귀분석'!$E$5*H35</x:f>
        <x:v>-1.0146673326656988</x:v>
      </x:c>
    </x:row>
    <x:row r="36">
      <x:c r="A36" s="6" t="n">
        <x:v>-2.3</x:v>
      </x:c>
      <x:c r="B36" s="6" t="n">
        <x:v>0.565</x:v>
      </x:c>
      <x:c r="C36" s="6" t="n">
        <x:v>4.78</x:v>
      </x:c>
      <x:c r="D36" s="6" t="n">
        <x:v>5.35</x:v>
      </x:c>
      <x:c r="E36" s="6" t="n">
        <x:v>2.76</x:v>
      </x:c>
      <x:c r="F36" s="6" t="n">
        <x:v>0.2</x:v>
      </x:c>
      <x:c r="G36" s="6" t="n">
        <x:v>0.86</x:v>
      </x:c>
      <x:c r="H36" s="6" t="n">
        <x:v>0.04000000000000001</x:v>
      </x:c>
      <x:c r="I36" s="6" t="n">
        <x:f>'회귀분석'!$B$7+'회귀분석'!$B$6*F36</x:f>
        <x:v>-0.15055544455544023</x:v>
      </x:c>
      <x:c r="J36" s="6" t="n">
        <x:f>'회귀분석'!$E$7+'회귀분석'!$E$6*F36+'회귀분석'!$E$5*H36</x:f>
        <x:v>-2.3281328671334762</x:v>
      </x:c>
    </x:row>
    <x:row r="37">
      <x:c r="A37" s="6" t="n">
        <x:v>-2.3</x:v>
      </x:c>
      <x:c r="B37" s="6" t="n">
        <x:v>0.565</x:v>
      </x:c>
      <x:c r="C37" s="6" t="n">
        <x:v>4.78</x:v>
      </x:c>
      <x:c r="D37" s="6" t="n">
        <x:v>5.35</x:v>
      </x:c>
      <x:c r="E37" s="6" t="n">
        <x:v>2.76</x:v>
      </x:c>
      <x:c r="F37" s="6" t="n">
        <x:v>0.225</x:v>
      </x:c>
      <x:c r="G37" s="6" t="n">
        <x:v>1.31</x:v>
      </x:c>
      <x:c r="H37" s="6" t="n">
        <x:v>0.050625</x:v>
      </x:c>
      <x:c r="I37" s="6" t="n">
        <x:f>'회귀분석'!$B$7+'회귀분석'!$B$6*F37</x:f>
        <x:v>2.891133866133867</x:v>
      </x:c>
      <x:c r="J37" s="6" t="n">
        <x:f>'회귀분석'!$E$7+'회귀분석'!$E$6*F37+'회귀분석'!$E$5*H37</x:f>
        <x:v>-2.55280969031201</x:v>
      </x:c>
    </x:row>
    <x:row r="38">
      <x:c r="A38" s="6" t="n">
        <x:v>-2.3</x:v>
      </x:c>
      <x:c r="B38" s="6" t="n">
        <x:v>0.565</x:v>
      </x:c>
      <x:c r="C38" s="6" t="n">
        <x:v>4.78</x:v>
      </x:c>
      <x:c r="D38" s="6" t="n">
        <x:v>5.35</x:v>
      </x:c>
      <x:c r="E38" s="6" t="n">
        <x:v>2.76</x:v>
      </x:c>
      <x:c r="F38" s="6" t="n">
        <x:v>0.25</x:v>
      </x:c>
      <x:c r="G38" s="6" t="n">
        <x:v>1.99</x:v>
      </x:c>
      <x:c r="H38" s="6" t="n">
        <x:v>0.0625</x:v>
      </x:c>
      <x:c r="I38" s="6" t="n">
        <x:f>'회귀분석'!$B$7+'회귀분석'!$B$6*F38</x:f>
        <x:v>5.932823176823174</x:v>
      </x:c>
      <x:c r="J38" s="6" t="n">
        <x:f>'회귀분석'!$E$7+'회귀분석'!$E$6*F38+'회귀분석'!$E$5*H38</x:f>
        <x:v>-1.6886978022012968</x:v>
      </x:c>
    </x:row>
    <x:row r="39">
      <x:c r="A39" s="6" t="n">
        <x:v>-2.3</x:v>
      </x:c>
      <x:c r="B39" s="6" t="n">
        <x:v>0.565</x:v>
      </x:c>
      <x:c r="C39" s="6" t="n">
        <x:v>4.78</x:v>
      </x:c>
      <x:c r="D39" s="6" t="n">
        <x:v>5.35</x:v>
      </x:c>
      <x:c r="E39" s="6" t="n">
        <x:v>2.76</x:v>
      </x:c>
      <x:c r="F39" s="6" t="n">
        <x:v>0.275</x:v>
      </x:c>
      <x:c r="G39" s="6" t="n">
        <x:v>2.94</x:v>
      </x:c>
      <x:c r="H39" s="6" t="n">
        <x:v>0.07562500000000001</x:v>
      </x:c>
      <x:c r="I39" s="6" t="n">
        <x:f>'회귀분석'!$B$7+'회귀분석'!$B$6*F39</x:f>
        <x:v>8.974512487512484</x:v>
      </x:c>
      <x:c r="J39" s="6" t="n">
        <x:f>'회귀분석'!$E$7+'회귀분석'!$E$6*F39+'회귀분석'!$E$5*H39</x:f>
        <x:v>0.2642027971986636</x:v>
      </x:c>
    </x:row>
    <x:row r="40">
      <x:c r="A40" s="6" t="n">
        <x:v>-2.3</x:v>
      </x:c>
      <x:c r="B40" s="6" t="n">
        <x:v>0.565</x:v>
      </x:c>
      <x:c r="C40" s="6" t="n">
        <x:v>4.78</x:v>
      </x:c>
      <x:c r="D40" s="6" t="n">
        <x:v>5.35</x:v>
      </x:c>
      <x:c r="E40" s="6" t="n">
        <x:v>2.76</x:v>
      </x:c>
      <x:c r="F40" s="6" t="n">
        <x:v>0.3</x:v>
      </x:c>
      <x:c r="G40" s="6" t="n">
        <x:v>4.21</x:v>
      </x:c>
      <x:c r="H40" s="6" t="n">
        <x:v>0.09</x:v>
      </x:c>
      <x:c r="I40" s="6" t="n">
        <x:f>'회귀분석'!$B$7+'회귀분석'!$B$6*F40</x:f>
        <x:v>12.016201798201784</x:v>
      </x:c>
      <x:c r="J40" s="6" t="n">
        <x:f>'회귀분석'!$E$7+'회귀분석'!$E$6*F40+'회귀분석'!$E$5*H40</x:f>
        <x:v>3.305892107887857</x:v>
      </x:c>
    </x:row>
    <x:row r="41">
      <x:c r="A41" s="6" t="n">
        <x:v>-2.3</x:v>
      </x:c>
      <x:c r="B41" s="6" t="n">
        <x:v>0.565</x:v>
      </x:c>
      <x:c r="C41" s="6" t="n">
        <x:v>4.78</x:v>
      </x:c>
      <x:c r="D41" s="6" t="n">
        <x:v>5.35</x:v>
      </x:c>
      <x:c r="E41" s="6" t="n">
        <x:v>2.76</x:v>
      </x:c>
      <x:c r="F41" s="6" t="n">
        <x:v>0.325</x:v>
      </x:c>
      <x:c r="G41" s="6" t="n">
        <x:v>5.54</x:v>
      </x:c>
      <x:c r="H41" s="6" t="n">
        <x:v>0.10562500000000001</x:v>
      </x:c>
      <x:c r="I41" s="6" t="n">
        <x:f>'회귀분석'!$B$7+'회귀분석'!$B$6*F41</x:f>
        <x:v>15.057891108891098</x:v>
      </x:c>
      <x:c r="J41" s="6" t="n">
        <x:f>'회귀분석'!$E$7+'회귀분석'!$E$6*F41+'회귀분석'!$E$5*H41</x:f>
        <x:v>7.4363701298663045</x:v>
      </x:c>
    </x:row>
    <x:row r="42">
      <x:c r="A42" s="6" t="n">
        <x:v>-2.3</x:v>
      </x:c>
      <x:c r="B42" s="6" t="n">
        <x:v>0.565</x:v>
      </x:c>
      <x:c r="C42" s="6" t="n">
        <x:v>4.78</x:v>
      </x:c>
      <x:c r="D42" s="6" t="n">
        <x:v>5.35</x:v>
      </x:c>
      <x:c r="E42" s="6" t="n">
        <x:v>2.76</x:v>
      </x:c>
      <x:c r="F42" s="6" t="n">
        <x:v>0.35</x:v>
      </x:c>
      <x:c r="G42" s="6" t="n">
        <x:v>8.25</x:v>
      </x:c>
      <x:c r="H42" s="6" t="n">
        <x:v>0.12249999999999998</x:v>
      </x:c>
      <x:c r="I42" s="6" t="n">
        <x:f>'회귀분석'!$B$7+'회귀분석'!$B$6*F42</x:f>
        <x:v>18.0995804195804</x:v>
      </x:c>
      <x:c r="J42" s="6" t="n">
        <x:f>'회귀분석'!$E$7+'회귀분석'!$E$6*F42+'회귀분석'!$E$5*H42</x:f>
        <x:v>12.655636863133978</x:v>
      </x:c>
    </x:row>
    <x:row r="43">
      <x:c r="A43" s="6" t="n">
        <x:v>-2.3</x:v>
      </x:c>
      <x:c r="B43" s="6" t="n">
        <x:v>0.565</x:v>
      </x:c>
      <x:c r="C43" s="6" t="n">
        <x:v>4.78</x:v>
      </x:c>
      <x:c r="D43" s="6" t="n">
        <x:v>5.35</x:v>
      </x:c>
      <x:c r="E43" s="6" t="n">
        <x:v>2.76</x:v>
      </x:c>
      <x:c r="F43" s="6" t="n">
        <x:v>0.375</x:v>
      </x:c>
      <x:c r="G43" s="6" t="n">
        <x:v>13.08</x:v>
      </x:c>
      <x:c r="H43" s="6" t="n">
        <x:v>0.140625</x:v>
      </x:c>
      <x:c r="I43" s="6" t="n">
        <x:f>'회귀분석'!$B$7+'회귀분석'!$B$6*F43</x:f>
        <x:v>21.141269730269713</x:v>
      </x:c>
      <x:c r="J43" s="6" t="n">
        <x:f>'회귀분석'!$E$7+'회귀분석'!$E$6*F43+'회귀분석'!$E$5*H43</x:f>
        <x:v>18.96369230769092</x:v>
      </x:c>
    </x:row>
    <x:row r="44">
      <x:c r="A44" s="6" t="n">
        <x:v>-2.3</x:v>
      </x:c>
      <x:c r="B44" s="6" t="n">
        <x:v>0.565</x:v>
      </x:c>
      <x:c r="C44" s="6" t="n">
        <x:v>4.78</x:v>
      </x:c>
      <x:c r="D44" s="6" t="n">
        <x:v>5.35</x:v>
      </x:c>
      <x:c r="E44" s="6" t="n">
        <x:v>2.76</x:v>
      </x:c>
      <x:c r="F44" s="6" t="n">
        <x:v>0.4</x:v>
      </x:c>
      <x:c r="G44" s="6" t="n">
        <x:v>21.4</x:v>
      </x:c>
      <x:c r="H44" s="6" t="n">
        <x:v>0.16000000000000003</x:v>
      </x:c>
      <x:c r="I44" s="6" t="n">
        <x:f>'회귀분석'!$B$7+'회귀분석'!$B$6*F44</x:f>
        <x:v>24.18295904095902</x:v>
      </x:c>
      <x:c r="J44" s="6" t="n">
        <x:f>'회귀분석'!$E$7+'회귀분석'!$E$6*F44+'회귀분석'!$E$5*H44</x:f>
        <x:v>26.360536463537102</x:v>
      </x:c>
    </x:row>
    <x:row r="45">
      <x:c r="A45" s="6" t="n">
        <x:v>-2.3</x:v>
      </x:c>
      <x:c r="B45" s="6" t="n">
        <x:v>0.565</x:v>
      </x:c>
      <x:c r="C45" s="6" t="n">
        <x:v>4.78</x:v>
      </x:c>
      <x:c r="D45" s="6" t="n">
        <x:v>5.35</x:v>
      </x:c>
      <x:c r="E45" s="6" t="n">
        <x:v>2.76</x:v>
      </x:c>
      <x:c r="F45" s="6" t="n">
        <x:v>0.425</x:v>
      </x:c>
      <x:c r="G45" s="6" t="n">
        <x:v>33.14</x:v>
      </x:c>
      <x:c r="H45" s="6" t="n">
        <x:v>0.18062499999999998</x:v>
      </x:c>
      <x:c r="I45" s="6" t="n">
        <x:f>'회귀분석'!$B$7+'회귀분석'!$B$6*F45</x:f>
        <x:v>27.224648351648327</x:v>
      </x:c>
      <x:c r="J45" s="6" t="n">
        <x:f>'회귀분석'!$E$7+'회귀분석'!$E$6*F45+'회귀분석'!$E$5*H45</x:f>
        <x:v>34.846169330672495</x:v>
      </x:c>
    </x:row>
    <x:row r="46">
      <x:c r="A46" s="6" t="n">
        <x:v>-2.3</x:v>
      </x:c>
      <x:c r="B46" s="6" t="n">
        <x:v>0.565</x:v>
      </x:c>
      <x:c r="C46" s="6" t="n">
        <x:v>4.78</x:v>
      </x:c>
      <x:c r="D46" s="6" t="n">
        <x:v>5.35</x:v>
      </x:c>
      <x:c r="E46" s="6" t="n">
        <x:v>2.76</x:v>
      </x:c>
      <x:c r="F46" s="6" t="n">
        <x:v>0.45</x:v>
      </x:c>
      <x:c r="G46" s="6" t="n">
        <x:v>50.14</x:v>
      </x:c>
      <x:c r="H46" s="6" t="n">
        <x:v>0.2025</x:v>
      </x:c>
      <x:c r="I46" s="6" t="n">
        <x:f>'회귀분석'!$B$7+'회귀분석'!$B$6*F46</x:f>
        <x:v>30.266337662337634</x:v>
      </x:c>
      <x:c r="J46" s="6" t="n">
        <x:f>'회귀분석'!$E$7+'회귀분석'!$E$6*F46+'회귀분석'!$E$5*H46</x:f>
        <x:v>44.42059090909717</x:v>
      </x:c>
    </x:row>
    <x:row r="47">
      <x:c r="A47" s="6" t="n">
        <x:v>-2.3</x:v>
      </x:c>
      <x:c r="B47" s="6" t="n">
        <x:v>0.564</x:v>
      </x:c>
      <x:c r="C47" s="6" t="n">
        <x:v>5.1</x:v>
      </x:c>
      <x:c r="D47" s="6" t="n">
        <x:v>3.95</x:v>
      </x:c>
      <x:c r="E47" s="6" t="n">
        <x:v>3.53</x:v>
      </x:c>
      <x:c r="F47" s="6" t="n">
        <x:v>0.125</x:v>
      </x:c>
      <x:c r="G47" s="6" t="n">
        <x:v>0.2</x:v>
      </x:c>
      <x:c r="H47" s="6" t="n">
        <x:v>0.015625</x:v>
      </x:c>
      <x:c r="I47" s="6" t="n">
        <x:f>'회귀분석'!$B$7+'회귀분석'!$B$6*F47</x:f>
        <x:v>-9.275623376623363</x:v>
      </x:c>
      <x:c r="J47" s="6" t="n">
        <x:f>'회귀분석'!$E$7+'회귀분석'!$E$6*F47+'회귀분석'!$E$5*H47</x:f>
        <x:v>4.878629870137585</x:v>
      </x:c>
    </x:row>
    <x:row r="48">
      <x:c r="A48" s="6" t="n">
        <x:v>-2.3</x:v>
      </x:c>
      <x:c r="B48" s="6" t="n">
        <x:v>0.564</x:v>
      </x:c>
      <x:c r="C48" s="6" t="n">
        <x:v>5.1</x:v>
      </x:c>
      <x:c r="D48" s="6" t="n">
        <x:v>3.95</x:v>
      </x:c>
      <x:c r="E48" s="6" t="n">
        <x:v>3.53</x:v>
      </x:c>
      <x:c r="F48" s="6" t="n">
        <x:v>0.15</x:v>
      </x:c>
      <x:c r="G48" s="6" t="n">
        <x:v>0.35</x:v>
      </x:c>
      <x:c r="H48" s="6" t="n">
        <x:v>0.0225</x:v>
      </x:c>
      <x:c r="I48" s="6" t="n">
        <x:f>'회귀분석'!$B$7+'회귀분석'!$B$6*F48</x:f>
        <x:v>-6.233934065934058</x:v>
      </x:c>
      <x:c r="J48" s="6" t="n">
        <x:f>'회귀분석'!$E$7+'회귀분석'!$E$6*F48+'회귀분석'!$E$5*H48</x:f>
        <x:v>1.3875869130913223</x:v>
      </x:c>
    </x:row>
    <x:row r="49">
      <x:c r="A49" s="6" t="n">
        <x:v>-2.3</x:v>
      </x:c>
      <x:c r="B49" s="6" t="n">
        <x:v>0.564</x:v>
      </x:c>
      <x:c r="C49" s="6" t="n">
        <x:v>5.1</x:v>
      </x:c>
      <x:c r="D49" s="6" t="n">
        <x:v>3.95</x:v>
      </x:c>
      <x:c r="E49" s="6" t="n">
        <x:v>3.53</x:v>
      </x:c>
      <x:c r="F49" s="6" t="n">
        <x:v>0.175</x:v>
      </x:c>
      <x:c r="G49" s="6" t="n">
        <x:v>0.65</x:v>
      </x:c>
      <x:c r="H49" s="6" t="n">
        <x:v>0.030624999999999996</x:v>
      </x:c>
      <x:c r="I49" s="6" t="n">
        <x:f>'회귀분석'!$B$7+'회귀분석'!$B$6*F49</x:f>
        <x:v>-3.192244755244751</x:v>
      </x:c>
      <x:c r="J49" s="6" t="n">
        <x:f>'회귀분석'!$E$7+'회귀분석'!$E$6*F49+'회귀분석'!$E$5*H49</x:f>
        <x:v>-1.0146673326656988</x:v>
      </x:c>
    </x:row>
    <x:row r="50">
      <x:c r="A50" s="6" t="n">
        <x:v>-2.3</x:v>
      </x:c>
      <x:c r="B50" s="6" t="n">
        <x:v>0.564</x:v>
      </x:c>
      <x:c r="C50" s="6" t="n">
        <x:v>5.1</x:v>
      </x:c>
      <x:c r="D50" s="6" t="n">
        <x:v>3.95</x:v>
      </x:c>
      <x:c r="E50" s="6" t="n">
        <x:v>3.53</x:v>
      </x:c>
      <x:c r="F50" s="6" t="n">
        <x:v>0.2</x:v>
      </x:c>
      <x:c r="G50" s="6" t="n">
        <x:v>0.93</x:v>
      </x:c>
      <x:c r="H50" s="6" t="n">
        <x:v>0.04000000000000001</x:v>
      </x:c>
      <x:c r="I50" s="6" t="n">
        <x:f>'회귀분석'!$B$7+'회귀분석'!$B$6*F50</x:f>
        <x:v>-0.15055544455544023</x:v>
      </x:c>
      <x:c r="J50" s="6" t="n">
        <x:f>'회귀분석'!$E$7+'회귀분석'!$E$6*F50+'회귀분석'!$E$5*H50</x:f>
        <x:v>-2.3281328671334762</x:v>
      </x:c>
    </x:row>
    <x:row r="51">
      <x:c r="A51" s="6" t="n">
        <x:v>-2.3</x:v>
      </x:c>
      <x:c r="B51" s="6" t="n">
        <x:v>0.564</x:v>
      </x:c>
      <x:c r="C51" s="6" t="n">
        <x:v>5.1</x:v>
      </x:c>
      <x:c r="D51" s="6" t="n">
        <x:v>3.95</x:v>
      </x:c>
      <x:c r="E51" s="6" t="n">
        <x:v>3.53</x:v>
      </x:c>
      <x:c r="F51" s="6" t="n">
        <x:v>0.225</x:v>
      </x:c>
      <x:c r="G51" s="6" t="n">
        <x:v>1.37</x:v>
      </x:c>
      <x:c r="H51" s="6" t="n">
        <x:v>0.050625</x:v>
      </x:c>
      <x:c r="I51" s="6" t="n">
        <x:f>'회귀분석'!$B$7+'회귀분석'!$B$6*F51</x:f>
        <x:v>2.891133866133867</x:v>
      </x:c>
      <x:c r="J51" s="6" t="n">
        <x:f>'회귀분석'!$E$7+'회귀분석'!$E$6*F51+'회귀분석'!$E$5*H51</x:f>
        <x:v>-2.55280969031201</x:v>
      </x:c>
    </x:row>
    <x:row r="52">
      <x:c r="A52" s="6" t="n">
        <x:v>-2.3</x:v>
      </x:c>
      <x:c r="B52" s="6" t="n">
        <x:v>0.564</x:v>
      </x:c>
      <x:c r="C52" s="6" t="n">
        <x:v>5.1</x:v>
      </x:c>
      <x:c r="D52" s="6" t="n">
        <x:v>3.95</x:v>
      </x:c>
      <x:c r="E52" s="6" t="n">
        <x:v>3.53</x:v>
      </x:c>
      <x:c r="F52" s="6" t="n">
        <x:v>0.25</x:v>
      </x:c>
      <x:c r="G52" s="6" t="n">
        <x:v>1.97</x:v>
      </x:c>
      <x:c r="H52" s="6" t="n">
        <x:v>0.0625</x:v>
      </x:c>
      <x:c r="I52" s="6" t="n">
        <x:f>'회귀분석'!$B$7+'회귀분석'!$B$6*F52</x:f>
        <x:v>5.932823176823174</x:v>
      </x:c>
      <x:c r="J52" s="6" t="n">
        <x:f>'회귀분석'!$E$7+'회귀분석'!$E$6*F52+'회귀분석'!$E$5*H52</x:f>
        <x:v>-1.6886978022012968</x:v>
      </x:c>
    </x:row>
    <x:row r="53">
      <x:c r="A53" s="6" t="n">
        <x:v>-2.3</x:v>
      </x:c>
      <x:c r="B53" s="6" t="n">
        <x:v>0.564</x:v>
      </x:c>
      <x:c r="C53" s="6" t="n">
        <x:v>5.1</x:v>
      </x:c>
      <x:c r="D53" s="6" t="n">
        <x:v>3.95</x:v>
      </x:c>
      <x:c r="E53" s="6" t="n">
        <x:v>3.53</x:v>
      </x:c>
      <x:c r="F53" s="6" t="n">
        <x:v>0.275</x:v>
      </x:c>
      <x:c r="G53" s="6" t="n">
        <x:v>2.83</x:v>
      </x:c>
      <x:c r="H53" s="6" t="n">
        <x:v>0.07562500000000001</x:v>
      </x:c>
      <x:c r="I53" s="6" t="n">
        <x:f>'회귀분석'!$B$7+'회귀분석'!$B$6*F53</x:f>
        <x:v>8.974512487512484</x:v>
      </x:c>
      <x:c r="J53" s="6" t="n">
        <x:f>'회귀분석'!$E$7+'회귀분석'!$E$6*F53+'회귀분석'!$E$5*H53</x:f>
        <x:v>0.2642027971986636</x:v>
      </x:c>
    </x:row>
    <x:row r="54">
      <x:c r="A54" s="6" t="n">
        <x:v>-2.3</x:v>
      </x:c>
      <x:c r="B54" s="6" t="n">
        <x:v>0.564</x:v>
      </x:c>
      <x:c r="C54" s="6" t="n">
        <x:v>5.1</x:v>
      </x:c>
      <x:c r="D54" s="6" t="n">
        <x:v>3.95</x:v>
      </x:c>
      <x:c r="E54" s="6" t="n">
        <x:v>3.53</x:v>
      </x:c>
      <x:c r="F54" s="6" t="n">
        <x:v>0.3</x:v>
      </x:c>
      <x:c r="G54" s="6" t="n">
        <x:v>3.99</x:v>
      </x:c>
      <x:c r="H54" s="6" t="n">
        <x:v>0.09</x:v>
      </x:c>
      <x:c r="I54" s="6" t="n">
        <x:f>'회귀분석'!$B$7+'회귀분석'!$B$6*F54</x:f>
        <x:v>12.016201798201784</x:v>
      </x:c>
      <x:c r="J54" s="6" t="n">
        <x:f>'회귀분석'!$E$7+'회귀분석'!$E$6*F54+'회귀분석'!$E$5*H54</x:f>
        <x:v>3.305892107887857</x:v>
      </x:c>
    </x:row>
    <x:row r="55">
      <x:c r="A55" s="6" t="n">
        <x:v>-2.3</x:v>
      </x:c>
      <x:c r="B55" s="6" t="n">
        <x:v>0.564</x:v>
      </x:c>
      <x:c r="C55" s="6" t="n">
        <x:v>5.1</x:v>
      </x:c>
      <x:c r="D55" s="6" t="n">
        <x:v>3.95</x:v>
      </x:c>
      <x:c r="E55" s="6" t="n">
        <x:v>3.53</x:v>
      </x:c>
      <x:c r="F55" s="6" t="n">
        <x:v>0.325</x:v>
      </x:c>
      <x:c r="G55" s="6" t="n">
        <x:v>5.19</x:v>
      </x:c>
      <x:c r="H55" s="6" t="n">
        <x:v>0.10562500000000001</x:v>
      </x:c>
      <x:c r="I55" s="6" t="n">
        <x:f>'회귀분석'!$B$7+'회귀분석'!$B$6*F55</x:f>
        <x:v>15.057891108891098</x:v>
      </x:c>
      <x:c r="J55" s="6" t="n">
        <x:f>'회귀분석'!$E$7+'회귀분석'!$E$6*F55+'회귀분석'!$E$5*H55</x:f>
        <x:v>7.4363701298663045</x:v>
      </x:c>
    </x:row>
    <x:row r="56">
      <x:c r="A56" s="6" t="n">
        <x:v>-2.3</x:v>
      </x:c>
      <x:c r="B56" s="6" t="n">
        <x:v>0.564</x:v>
      </x:c>
      <x:c r="C56" s="6" t="n">
        <x:v>5.1</x:v>
      </x:c>
      <x:c r="D56" s="6" t="n">
        <x:v>3.95</x:v>
      </x:c>
      <x:c r="E56" s="6" t="n">
        <x:v>3.53</x:v>
      </x:c>
      <x:c r="F56" s="6" t="n">
        <x:v>0.35</x:v>
      </x:c>
      <x:c r="G56" s="6" t="n">
        <x:v>8.03</x:v>
      </x:c>
      <x:c r="H56" s="6" t="n">
        <x:v>0.12249999999999998</x:v>
      </x:c>
      <x:c r="I56" s="6" t="n">
        <x:f>'회귀분석'!$B$7+'회귀분석'!$B$6*F56</x:f>
        <x:v>18.0995804195804</x:v>
      </x:c>
      <x:c r="J56" s="6" t="n">
        <x:f>'회귀분석'!$E$7+'회귀분석'!$E$6*F56+'회귀분석'!$E$5*H56</x:f>
        <x:v>12.655636863133978</x:v>
      </x:c>
    </x:row>
    <x:row r="57">
      <x:c r="A57" s="6" t="n">
        <x:v>-2.3</x:v>
      </x:c>
      <x:c r="B57" s="6" t="n">
        <x:v>0.564</x:v>
      </x:c>
      <x:c r="C57" s="6" t="n">
        <x:v>5.1</x:v>
      </x:c>
      <x:c r="D57" s="6" t="n">
        <x:v>3.95</x:v>
      </x:c>
      <x:c r="E57" s="6" t="n">
        <x:v>3.53</x:v>
      </x:c>
      <x:c r="F57" s="6" t="n">
        <x:v>0.375</x:v>
      </x:c>
      <x:c r="G57" s="6" t="n">
        <x:v>12.86</x:v>
      </x:c>
      <x:c r="H57" s="6" t="n">
        <x:v>0.140625</x:v>
      </x:c>
      <x:c r="I57" s="6" t="n">
        <x:f>'회귀분석'!$B$7+'회귀분석'!$B$6*F57</x:f>
        <x:v>21.141269730269713</x:v>
      </x:c>
      <x:c r="J57" s="6" t="n">
        <x:f>'회귀분석'!$E$7+'회귀분석'!$E$6*F57+'회귀분석'!$E$5*H57</x:f>
        <x:v>18.96369230769092</x:v>
      </x:c>
    </x:row>
    <x:row r="58">
      <x:c r="A58" s="6" t="n">
        <x:v>-2.3</x:v>
      </x:c>
      <x:c r="B58" s="6" t="n">
        <x:v>0.564</x:v>
      </x:c>
      <x:c r="C58" s="6" t="n">
        <x:v>5.1</x:v>
      </x:c>
      <x:c r="D58" s="6" t="n">
        <x:v>3.95</x:v>
      </x:c>
      <x:c r="E58" s="6" t="n">
        <x:v>3.53</x:v>
      </x:c>
      <x:c r="F58" s="6" t="n">
        <x:v>0.4</x:v>
      </x:c>
      <x:c r="G58" s="6" t="n">
        <x:v>21.51</x:v>
      </x:c>
      <x:c r="H58" s="6" t="n">
        <x:v>0.16000000000000003</x:v>
      </x:c>
      <x:c r="I58" s="6" t="n">
        <x:f>'회귀분석'!$B$7+'회귀분석'!$B$6*F58</x:f>
        <x:v>24.18295904095902</x:v>
      </x:c>
      <x:c r="J58" s="6" t="n">
        <x:f>'회귀분석'!$E$7+'회귀분석'!$E$6*F58+'회귀분석'!$E$5*H58</x:f>
        <x:v>26.360536463537102</x:v>
      </x:c>
    </x:row>
    <x:row r="59">
      <x:c r="A59" s="6" t="n">
        <x:v>-2.3</x:v>
      </x:c>
      <x:c r="B59" s="6" t="n">
        <x:v>0.564</x:v>
      </x:c>
      <x:c r="C59" s="6" t="n">
        <x:v>5.1</x:v>
      </x:c>
      <x:c r="D59" s="6" t="n">
        <x:v>3.95</x:v>
      </x:c>
      <x:c r="E59" s="6" t="n">
        <x:v>3.53</x:v>
      </x:c>
      <x:c r="F59" s="6" t="n">
        <x:v>0.425</x:v>
      </x:c>
      <x:c r="G59" s="6" t="n">
        <x:v>33.97</x:v>
      </x:c>
      <x:c r="H59" s="6" t="n">
        <x:v>0.18062499999999998</x:v>
      </x:c>
      <x:c r="I59" s="6" t="n">
        <x:f>'회귀분석'!$B$7+'회귀분석'!$B$6*F59</x:f>
        <x:v>27.224648351648327</x:v>
      </x:c>
      <x:c r="J59" s="6" t="n">
        <x:f>'회귀분석'!$E$7+'회귀분석'!$E$6*F59+'회귀분석'!$E$5*H59</x:f>
        <x:v>34.846169330672495</x:v>
      </x:c>
    </x:row>
    <x:row r="60">
      <x:c r="A60" s="6" t="n">
        <x:v>-2.3</x:v>
      </x:c>
      <x:c r="B60" s="6" t="n">
        <x:v>0.564</x:v>
      </x:c>
      <x:c r="C60" s="6" t="n">
        <x:v>5.1</x:v>
      </x:c>
      <x:c r="D60" s="6" t="n">
        <x:v>3.95</x:v>
      </x:c>
      <x:c r="E60" s="6" t="n">
        <x:v>3.53</x:v>
      </x:c>
      <x:c r="F60" s="6" t="n">
        <x:v>0.45</x:v>
      </x:c>
      <x:c r="G60" s="6" t="n">
        <x:v>50.36</x:v>
      </x:c>
      <x:c r="H60" s="6" t="n">
        <x:v>0.2025</x:v>
      </x:c>
      <x:c r="I60" s="6" t="n">
        <x:f>'회귀분석'!$B$7+'회귀분석'!$B$6*F60</x:f>
        <x:v>30.266337662337634</x:v>
      </x:c>
      <x:c r="J60" s="6" t="n">
        <x:f>'회귀분석'!$E$7+'회귀분석'!$E$6*F60+'회귀분석'!$E$5*H60</x:f>
        <x:v>44.42059090909717</x:v>
      </x:c>
    </x:row>
    <x:row r="61">
      <x:c r="A61" s="6" t="n">
        <x:v>-2.4</x:v>
      </x:c>
      <x:c r="B61" s="6" t="n">
        <x:v>0.574</x:v>
      </x:c>
      <x:c r="C61" s="6" t="n">
        <x:v>4.36</x:v>
      </x:c>
      <x:c r="D61" s="6" t="n">
        <x:v>3.96</x:v>
      </x:c>
      <x:c r="E61" s="6" t="n">
        <x:v>2.76</x:v>
      </x:c>
      <x:c r="F61" s="6" t="n">
        <x:v>0.125</x:v>
      </x:c>
      <x:c r="G61" s="6" t="n">
        <x:v>0.2</x:v>
      </x:c>
      <x:c r="H61" s="6" t="n">
        <x:v>0.015625</x:v>
      </x:c>
      <x:c r="I61" s="6" t="n">
        <x:f>'회귀분석'!$B$7+'회귀분석'!$B$6*F61</x:f>
        <x:v>-9.275623376623363</x:v>
      </x:c>
      <x:c r="J61" s="6" t="n">
        <x:f>'회귀분석'!$E$7+'회귀분석'!$E$6*F61+'회귀분석'!$E$5*H61</x:f>
        <x:v>4.878629870137585</x:v>
      </x:c>
    </x:row>
    <x:row r="62">
      <x:c r="A62" s="6" t="n">
        <x:v>-2.4</x:v>
      </x:c>
      <x:c r="B62" s="6" t="n">
        <x:v>0.574</x:v>
      </x:c>
      <x:c r="C62" s="6" t="n">
        <x:v>4.36</x:v>
      </x:c>
      <x:c r="D62" s="6" t="n">
        <x:v>3.96</x:v>
      </x:c>
      <x:c r="E62" s="6" t="n">
        <x:v>2.76</x:v>
      </x:c>
      <x:c r="F62" s="6" t="n">
        <x:v>0.15</x:v>
      </x:c>
      <x:c r="G62" s="6" t="n">
        <x:v>0.35</x:v>
      </x:c>
      <x:c r="H62" s="6" t="n">
        <x:v>0.0225</x:v>
      </x:c>
      <x:c r="I62" s="6" t="n">
        <x:f>'회귀분석'!$B$7+'회귀분석'!$B$6*F62</x:f>
        <x:v>-6.233934065934058</x:v>
      </x:c>
      <x:c r="J62" s="6" t="n">
        <x:f>'회귀분석'!$E$7+'회귀분석'!$E$6*F62+'회귀분석'!$E$5*H62</x:f>
        <x:v>1.3875869130913223</x:v>
      </x:c>
    </x:row>
    <x:row r="63">
      <x:c r="A63" s="6" t="n">
        <x:v>-2.4</x:v>
      </x:c>
      <x:c r="B63" s="6" t="n">
        <x:v>0.574</x:v>
      </x:c>
      <x:c r="C63" s="6" t="n">
        <x:v>4.36</x:v>
      </x:c>
      <x:c r="D63" s="6" t="n">
        <x:v>3.96</x:v>
      </x:c>
      <x:c r="E63" s="6" t="n">
        <x:v>2.76</x:v>
      </x:c>
      <x:c r="F63" s="6" t="n">
        <x:v>0.175</x:v>
      </x:c>
      <x:c r="G63" s="6" t="n">
        <x:v>0.65</x:v>
      </x:c>
      <x:c r="H63" s="6" t="n">
        <x:v>0.030624999999999996</x:v>
      </x:c>
      <x:c r="I63" s="6" t="n">
        <x:f>'회귀분석'!$B$7+'회귀분석'!$B$6*F63</x:f>
        <x:v>-3.192244755244751</x:v>
      </x:c>
      <x:c r="J63" s="6" t="n">
        <x:f>'회귀분석'!$E$7+'회귀분석'!$E$6*F63+'회귀분석'!$E$5*H63</x:f>
        <x:v>-1.0146673326656988</x:v>
      </x:c>
    </x:row>
    <x:row r="64">
      <x:c r="A64" s="6" t="n">
        <x:v>-2.4</x:v>
      </x:c>
      <x:c r="B64" s="6" t="n">
        <x:v>0.574</x:v>
      </x:c>
      <x:c r="C64" s="6" t="n">
        <x:v>4.36</x:v>
      </x:c>
      <x:c r="D64" s="6" t="n">
        <x:v>3.96</x:v>
      </x:c>
      <x:c r="E64" s="6" t="n">
        <x:v>2.76</x:v>
      </x:c>
      <x:c r="F64" s="6" t="n">
        <x:v>0.2</x:v>
      </x:c>
      <x:c r="G64" s="6" t="n">
        <x:v>0.93</x:v>
      </x:c>
      <x:c r="H64" s="6" t="n">
        <x:v>0.04000000000000001</x:v>
      </x:c>
      <x:c r="I64" s="6" t="n">
        <x:f>'회귀분석'!$B$7+'회귀분석'!$B$6*F64</x:f>
        <x:v>-0.15055544455544023</x:v>
      </x:c>
      <x:c r="J64" s="6" t="n">
        <x:f>'회귀분석'!$E$7+'회귀분석'!$E$6*F64+'회귀분석'!$E$5*H64</x:f>
        <x:v>-2.3281328671334762</x:v>
      </x:c>
    </x:row>
    <x:row r="65">
      <x:c r="A65" s="6" t="n">
        <x:v>-2.4</x:v>
      </x:c>
      <x:c r="B65" s="6" t="n">
        <x:v>0.574</x:v>
      </x:c>
      <x:c r="C65" s="6" t="n">
        <x:v>4.36</x:v>
      </x:c>
      <x:c r="D65" s="6" t="n">
        <x:v>3.96</x:v>
      </x:c>
      <x:c r="E65" s="6" t="n">
        <x:v>2.76</x:v>
      </x:c>
      <x:c r="F65" s="6" t="n">
        <x:v>0.225</x:v>
      </x:c>
      <x:c r="G65" s="6" t="n">
        <x:v>1.37</x:v>
      </x:c>
      <x:c r="H65" s="6" t="n">
        <x:v>0.050625</x:v>
      </x:c>
      <x:c r="I65" s="6" t="n">
        <x:f>'회귀분석'!$B$7+'회귀분석'!$B$6*F65</x:f>
        <x:v>2.891133866133867</x:v>
      </x:c>
      <x:c r="J65" s="6" t="n">
        <x:f>'회귀분석'!$E$7+'회귀분석'!$E$6*F65+'회귀분석'!$E$5*H65</x:f>
        <x:v>-2.55280969031201</x:v>
      </x:c>
    </x:row>
    <x:row r="66">
      <x:c r="A66" s="6" t="n">
        <x:v>-2.4</x:v>
      </x:c>
      <x:c r="B66" s="6" t="n">
        <x:v>0.574</x:v>
      </x:c>
      <x:c r="C66" s="6" t="n">
        <x:v>4.36</x:v>
      </x:c>
      <x:c r="D66" s="6" t="n">
        <x:v>3.96</x:v>
      </x:c>
      <x:c r="E66" s="6" t="n">
        <x:v>2.76</x:v>
      </x:c>
      <x:c r="F66" s="6" t="n">
        <x:v>0.25</x:v>
      </x:c>
      <x:c r="G66" s="6" t="n">
        <x:v>1.97</x:v>
      </x:c>
      <x:c r="H66" s="6" t="n">
        <x:v>0.0625</x:v>
      </x:c>
      <x:c r="I66" s="6" t="n">
        <x:f>'회귀분석'!$B$7+'회귀분석'!$B$6*F66</x:f>
        <x:v>5.932823176823174</x:v>
      </x:c>
      <x:c r="J66" s="6" t="n">
        <x:f>'회귀분석'!$E$7+'회귀분석'!$E$6*F66+'회귀분석'!$E$5*H66</x:f>
        <x:v>-1.6886978022012968</x:v>
      </x:c>
    </x:row>
    <x:row r="67">
      <x:c r="A67" s="6" t="n">
        <x:v>-2.4</x:v>
      </x:c>
      <x:c r="B67" s="6" t="n">
        <x:v>0.574</x:v>
      </x:c>
      <x:c r="C67" s="6" t="n">
        <x:v>4.36</x:v>
      </x:c>
      <x:c r="D67" s="6" t="n">
        <x:v>3.96</x:v>
      </x:c>
      <x:c r="E67" s="6" t="n">
        <x:v>2.76</x:v>
      </x:c>
      <x:c r="F67" s="6" t="n">
        <x:v>0.275</x:v>
      </x:c>
      <x:c r="G67" s="6" t="n">
        <x:v>2.83</x:v>
      </x:c>
      <x:c r="H67" s="6" t="n">
        <x:v>0.07562500000000001</x:v>
      </x:c>
      <x:c r="I67" s="6" t="n">
        <x:f>'회귀분석'!$B$7+'회귀분석'!$B$6*F67</x:f>
        <x:v>8.974512487512484</x:v>
      </x:c>
      <x:c r="J67" s="6" t="n">
        <x:f>'회귀분석'!$E$7+'회귀분석'!$E$6*F67+'회귀분석'!$E$5*H67</x:f>
        <x:v>0.2642027971986636</x:v>
      </x:c>
    </x:row>
    <x:row r="68">
      <x:c r="A68" s="6" t="n">
        <x:v>-2.4</x:v>
      </x:c>
      <x:c r="B68" s="6" t="n">
        <x:v>0.574</x:v>
      </x:c>
      <x:c r="C68" s="6" t="n">
        <x:v>4.36</x:v>
      </x:c>
      <x:c r="D68" s="6" t="n">
        <x:v>3.96</x:v>
      </x:c>
      <x:c r="E68" s="6" t="n">
        <x:v>2.76</x:v>
      </x:c>
      <x:c r="F68" s="6" t="n">
        <x:v>0.3</x:v>
      </x:c>
      <x:c r="G68" s="6" t="n">
        <x:v>3.99</x:v>
      </x:c>
      <x:c r="H68" s="6" t="n">
        <x:v>0.09</x:v>
      </x:c>
      <x:c r="I68" s="6" t="n">
        <x:f>'회귀분석'!$B$7+'회귀분석'!$B$6*F68</x:f>
        <x:v>12.016201798201784</x:v>
      </x:c>
      <x:c r="J68" s="6" t="n">
        <x:f>'회귀분석'!$E$7+'회귀분석'!$E$6*F68+'회귀분석'!$E$5*H68</x:f>
        <x:v>3.305892107887857</x:v>
      </x:c>
    </x:row>
    <x:row r="69">
      <x:c r="A69" s="6" t="n">
        <x:v>-2.4</x:v>
      </x:c>
      <x:c r="B69" s="6" t="n">
        <x:v>0.574</x:v>
      </x:c>
      <x:c r="C69" s="6" t="n">
        <x:v>4.36</x:v>
      </x:c>
      <x:c r="D69" s="6" t="n">
        <x:v>3.96</x:v>
      </x:c>
      <x:c r="E69" s="6" t="n">
        <x:v>2.76</x:v>
      </x:c>
      <x:c r="F69" s="6" t="n">
        <x:v>0.325</x:v>
      </x:c>
      <x:c r="G69" s="6" t="n">
        <x:v>5.19</x:v>
      </x:c>
      <x:c r="H69" s="6" t="n">
        <x:v>0.10562500000000001</x:v>
      </x:c>
      <x:c r="I69" s="6" t="n">
        <x:f>'회귀분석'!$B$7+'회귀분석'!$B$6*F69</x:f>
        <x:v>15.057891108891098</x:v>
      </x:c>
      <x:c r="J69" s="6" t="n">
        <x:f>'회귀분석'!$E$7+'회귀분석'!$E$6*F69+'회귀분석'!$E$5*H69</x:f>
        <x:v>7.4363701298663045</x:v>
      </x:c>
    </x:row>
    <x:row r="70">
      <x:c r="A70" s="6" t="n">
        <x:v>-2.4</x:v>
      </x:c>
      <x:c r="B70" s="6" t="n">
        <x:v>0.574</x:v>
      </x:c>
      <x:c r="C70" s="6" t="n">
        <x:v>4.36</x:v>
      </x:c>
      <x:c r="D70" s="6" t="n">
        <x:v>3.96</x:v>
      </x:c>
      <x:c r="E70" s="6" t="n">
        <x:v>2.76</x:v>
      </x:c>
      <x:c r="F70" s="6" t="n">
        <x:v>0.35</x:v>
      </x:c>
      <x:c r="G70" s="6" t="n">
        <x:v>8.03</x:v>
      </x:c>
      <x:c r="H70" s="6" t="n">
        <x:v>0.12249999999999998</x:v>
      </x:c>
      <x:c r="I70" s="6" t="n">
        <x:f>'회귀분석'!$B$7+'회귀분석'!$B$6*F70</x:f>
        <x:v>18.0995804195804</x:v>
      </x:c>
      <x:c r="J70" s="6" t="n">
        <x:f>'회귀분석'!$E$7+'회귀분석'!$E$6*F70+'회귀분석'!$E$5*H70</x:f>
        <x:v>12.655636863133978</x:v>
      </x:c>
    </x:row>
    <x:row r="71">
      <x:c r="A71" s="6" t="n">
        <x:v>-2.4</x:v>
      </x:c>
      <x:c r="B71" s="6" t="n">
        <x:v>0.574</x:v>
      </x:c>
      <x:c r="C71" s="6" t="n">
        <x:v>4.36</x:v>
      </x:c>
      <x:c r="D71" s="6" t="n">
        <x:v>3.96</x:v>
      </x:c>
      <x:c r="E71" s="6" t="n">
        <x:v>2.76</x:v>
      </x:c>
      <x:c r="F71" s="6" t="n">
        <x:v>0.375</x:v>
      </x:c>
      <x:c r="G71" s="6" t="n">
        <x:v>12.86</x:v>
      </x:c>
      <x:c r="H71" s="6" t="n">
        <x:v>0.140625</x:v>
      </x:c>
      <x:c r="I71" s="6" t="n">
        <x:f>'회귀분석'!$B$7+'회귀분석'!$B$6*F71</x:f>
        <x:v>21.141269730269713</x:v>
      </x:c>
      <x:c r="J71" s="6" t="n">
        <x:f>'회귀분석'!$E$7+'회귀분석'!$E$6*F71+'회귀분석'!$E$5*H71</x:f>
        <x:v>18.96369230769092</x:v>
      </x:c>
    </x:row>
    <x:row r="72">
      <x:c r="A72" s="6" t="n">
        <x:v>-2.4</x:v>
      </x:c>
      <x:c r="B72" s="6" t="n">
        <x:v>0.574</x:v>
      </x:c>
      <x:c r="C72" s="6" t="n">
        <x:v>4.36</x:v>
      </x:c>
      <x:c r="D72" s="6" t="n">
        <x:v>3.96</x:v>
      </x:c>
      <x:c r="E72" s="6" t="n">
        <x:v>2.76</x:v>
      </x:c>
      <x:c r="F72" s="6" t="n">
        <x:v>0.4</x:v>
      </x:c>
      <x:c r="G72" s="6" t="n">
        <x:v>21.51</x:v>
      </x:c>
      <x:c r="H72" s="6" t="n">
        <x:v>0.16000000000000003</x:v>
      </x:c>
      <x:c r="I72" s="6" t="n">
        <x:f>'회귀분석'!$B$7+'회귀분석'!$B$6*F72</x:f>
        <x:v>24.18295904095902</x:v>
      </x:c>
      <x:c r="J72" s="6" t="n">
        <x:f>'회귀분석'!$E$7+'회귀분석'!$E$6*F72+'회귀분석'!$E$5*H72</x:f>
        <x:v>26.360536463537102</x:v>
      </x:c>
    </x:row>
    <x:row r="73">
      <x:c r="A73" s="6" t="n">
        <x:v>-2.4</x:v>
      </x:c>
      <x:c r="B73" s="6" t="n">
        <x:v>0.574</x:v>
      </x:c>
      <x:c r="C73" s="6" t="n">
        <x:v>4.36</x:v>
      </x:c>
      <x:c r="D73" s="6" t="n">
        <x:v>3.96</x:v>
      </x:c>
      <x:c r="E73" s="6" t="n">
        <x:v>2.76</x:v>
      </x:c>
      <x:c r="F73" s="6" t="n">
        <x:v>0.425</x:v>
      </x:c>
      <x:c r="G73" s="6" t="n">
        <x:v>33.97</x:v>
      </x:c>
      <x:c r="H73" s="6" t="n">
        <x:v>0.18062499999999998</x:v>
      </x:c>
      <x:c r="I73" s="6" t="n">
        <x:f>'회귀분석'!$B$7+'회귀분석'!$B$6*F73</x:f>
        <x:v>27.224648351648327</x:v>
      </x:c>
      <x:c r="J73" s="6" t="n">
        <x:f>'회귀분석'!$E$7+'회귀분석'!$E$6*F73+'회귀분석'!$E$5*H73</x:f>
        <x:v>34.846169330672495</x:v>
      </x:c>
    </x:row>
    <x:row r="74">
      <x:c r="A74" s="6" t="n">
        <x:v>-2.4</x:v>
      </x:c>
      <x:c r="B74" s="6" t="n">
        <x:v>0.574</x:v>
      </x:c>
      <x:c r="C74" s="6" t="n">
        <x:v>4.36</x:v>
      </x:c>
      <x:c r="D74" s="6" t="n">
        <x:v>3.96</x:v>
      </x:c>
      <x:c r="E74" s="6" t="n">
        <x:v>2.76</x:v>
      </x:c>
      <x:c r="F74" s="6" t="n">
        <x:v>0.45</x:v>
      </x:c>
      <x:c r="G74" s="6" t="n">
        <x:v>50.36</x:v>
      </x:c>
      <x:c r="H74" s="6" t="n">
        <x:v>0.2025</x:v>
      </x:c>
      <x:c r="I74" s="6" t="n">
        <x:f>'회귀분석'!$B$7+'회귀분석'!$B$6*F74</x:f>
        <x:v>30.266337662337634</x:v>
      </x:c>
      <x:c r="J74" s="6" t="n">
        <x:f>'회귀분석'!$E$7+'회귀분석'!$E$6*F74+'회귀분석'!$E$5*H74</x:f>
        <x:v>44.42059090909717</x:v>
      </x:c>
    </x:row>
    <x:row r="75">
      <x:c r="A75" s="6" t="n">
        <x:v>-2.4</x:v>
      </x:c>
      <x:c r="B75" s="6" t="n">
        <x:v>0.568</x:v>
      </x:c>
      <x:c r="C75" s="6" t="n">
        <x:v>4.34</x:v>
      </x:c>
      <x:c r="D75" s="6" t="n">
        <x:v>2.98</x:v>
      </x:c>
      <x:c r="E75" s="6" t="n">
        <x:v>3.15</x:v>
      </x:c>
      <x:c r="F75" s="6" t="n">
        <x:v>0.125</x:v>
      </x:c>
      <x:c r="G75" s="6" t="n">
        <x:v>0.12</x:v>
      </x:c>
      <x:c r="H75" s="6" t="n">
        <x:v>0.015625</x:v>
      </x:c>
      <x:c r="I75" s="6" t="n">
        <x:f>'회귀분석'!$B$7+'회귀분석'!$B$6*F75</x:f>
        <x:v>-9.275623376623363</x:v>
      </x:c>
      <x:c r="J75" s="6" t="n">
        <x:f>'회귀분석'!$E$7+'회귀분석'!$E$6*F75+'회귀분석'!$E$5*H75</x:f>
        <x:v>4.878629870137585</x:v>
      </x:c>
    </x:row>
    <x:row r="76">
      <x:c r="A76" s="6" t="n">
        <x:v>-2.4</x:v>
      </x:c>
      <x:c r="B76" s="6" t="n">
        <x:v>0.568</x:v>
      </x:c>
      <x:c r="C76" s="6" t="n">
        <x:v>4.34</x:v>
      </x:c>
      <x:c r="D76" s="6" t="n">
        <x:v>2.98</x:v>
      </x:c>
      <x:c r="E76" s="6" t="n">
        <x:v>3.15</x:v>
      </x:c>
      <x:c r="F76" s="6" t="n">
        <x:v>0.15</x:v>
      </x:c>
      <x:c r="G76" s="6" t="n">
        <x:v>0.26</x:v>
      </x:c>
      <x:c r="H76" s="6" t="n">
        <x:v>0.0225</x:v>
      </x:c>
      <x:c r="I76" s="6" t="n">
        <x:f>'회귀분석'!$B$7+'회귀분석'!$B$6*F76</x:f>
        <x:v>-6.233934065934058</x:v>
      </x:c>
      <x:c r="J76" s="6" t="n">
        <x:f>'회귀분석'!$E$7+'회귀분석'!$E$6*F76+'회귀분석'!$E$5*H76</x:f>
        <x:v>1.3875869130913223</x:v>
      </x:c>
    </x:row>
    <x:row r="77">
      <x:c r="A77" s="6" t="n">
        <x:v>-2.4</x:v>
      </x:c>
      <x:c r="B77" s="6" t="n">
        <x:v>0.568</x:v>
      </x:c>
      <x:c r="C77" s="6" t="n">
        <x:v>4.34</x:v>
      </x:c>
      <x:c r="D77" s="6" t="n">
        <x:v>2.98</x:v>
      </x:c>
      <x:c r="E77" s="6" t="n">
        <x:v>3.15</x:v>
      </x:c>
      <x:c r="F77" s="6" t="n">
        <x:v>0.175</x:v>
      </x:c>
      <x:c r="G77" s="6" t="n">
        <x:v>0.43</x:v>
      </x:c>
      <x:c r="H77" s="6" t="n">
        <x:v>0.030624999999999996</x:v>
      </x:c>
      <x:c r="I77" s="6" t="n">
        <x:f>'회귀분석'!$B$7+'회귀분석'!$B$6*F77</x:f>
        <x:v>-3.192244755244751</x:v>
      </x:c>
      <x:c r="J77" s="6" t="n">
        <x:f>'회귀분석'!$E$7+'회귀분석'!$E$6*F77+'회귀분석'!$E$5*H77</x:f>
        <x:v>-1.0146673326656988</x:v>
      </x:c>
    </x:row>
    <x:row r="78">
      <x:c r="A78" s="6" t="n">
        <x:v>-2.4</x:v>
      </x:c>
      <x:c r="B78" s="6" t="n">
        <x:v>0.568</x:v>
      </x:c>
      <x:c r="C78" s="6" t="n">
        <x:v>4.34</x:v>
      </x:c>
      <x:c r="D78" s="6" t="n">
        <x:v>2.98</x:v>
      </x:c>
      <x:c r="E78" s="6" t="n">
        <x:v>3.15</x:v>
      </x:c>
      <x:c r="F78" s="6" t="n">
        <x:v>0.2</x:v>
      </x:c>
      <x:c r="G78" s="6" t="n">
        <x:v>0.69</x:v>
      </x:c>
      <x:c r="H78" s="6" t="n">
        <x:v>0.04000000000000001</x:v>
      </x:c>
      <x:c r="I78" s="6" t="n">
        <x:f>'회귀분석'!$B$7+'회귀분석'!$B$6*F78</x:f>
        <x:v>-0.15055544455544023</x:v>
      </x:c>
      <x:c r="J78" s="6" t="n">
        <x:f>'회귀분석'!$E$7+'회귀분석'!$E$6*F78+'회귀분석'!$E$5*H78</x:f>
        <x:v>-2.3281328671334762</x:v>
      </x:c>
    </x:row>
    <x:row r="79">
      <x:c r="A79" s="6" t="n">
        <x:v>-2.4</x:v>
      </x:c>
      <x:c r="B79" s="6" t="n">
        <x:v>0.568</x:v>
      </x:c>
      <x:c r="C79" s="6" t="n">
        <x:v>4.34</x:v>
      </x:c>
      <x:c r="D79" s="6" t="n">
        <x:v>2.98</x:v>
      </x:c>
      <x:c r="E79" s="6" t="n">
        <x:v>3.15</x:v>
      </x:c>
      <x:c r="F79" s="6" t="n">
        <x:v>0.225</x:v>
      </x:c>
      <x:c r="G79" s="6" t="n">
        <x:v>1.09</x:v>
      </x:c>
      <x:c r="H79" s="6" t="n">
        <x:v>0.050625</x:v>
      </x:c>
      <x:c r="I79" s="6" t="n">
        <x:f>'회귀분석'!$B$7+'회귀분석'!$B$6*F79</x:f>
        <x:v>2.891133866133867</x:v>
      </x:c>
      <x:c r="J79" s="6" t="n">
        <x:f>'회귀분석'!$E$7+'회귀분석'!$E$6*F79+'회귀분석'!$E$5*H79</x:f>
        <x:v>-2.55280969031201</x:v>
      </x:c>
    </x:row>
    <x:row r="80">
      <x:c r="A80" s="6" t="n">
        <x:v>-2.4</x:v>
      </x:c>
      <x:c r="B80" s="6" t="n">
        <x:v>0.568</x:v>
      </x:c>
      <x:c r="C80" s="6" t="n">
        <x:v>4.34</x:v>
      </x:c>
      <x:c r="D80" s="6" t="n">
        <x:v>2.98</x:v>
      </x:c>
      <x:c r="E80" s="6" t="n">
        <x:v>3.15</x:v>
      </x:c>
      <x:c r="F80" s="6" t="n">
        <x:v>0.25</x:v>
      </x:c>
      <x:c r="G80" s="6" t="n">
        <x:v>1.67</x:v>
      </x:c>
      <x:c r="H80" s="6" t="n">
        <x:v>0.0625</x:v>
      </x:c>
      <x:c r="I80" s="6" t="n">
        <x:f>'회귀분석'!$B$7+'회귀분석'!$B$6*F80</x:f>
        <x:v>5.932823176823174</x:v>
      </x:c>
      <x:c r="J80" s="6" t="n">
        <x:f>'회귀분석'!$E$7+'회귀분석'!$E$6*F80+'회귀분석'!$E$5*H80</x:f>
        <x:v>-1.6886978022012968</x:v>
      </x:c>
    </x:row>
    <x:row r="81">
      <x:c r="A81" s="6" t="n">
        <x:v>-2.4</x:v>
      </x:c>
      <x:c r="B81" s="6" t="n">
        <x:v>0.568</x:v>
      </x:c>
      <x:c r="C81" s="6" t="n">
        <x:v>4.34</x:v>
      </x:c>
      <x:c r="D81" s="6" t="n">
        <x:v>2.98</x:v>
      </x:c>
      <x:c r="E81" s="6" t="n">
        <x:v>3.15</x:v>
      </x:c>
      <x:c r="F81" s="6" t="n">
        <x:v>0.275</x:v>
      </x:c>
      <x:c r="G81" s="6" t="n">
        <x:v>2.46</x:v>
      </x:c>
      <x:c r="H81" s="6" t="n">
        <x:v>0.07562500000000001</x:v>
      </x:c>
      <x:c r="I81" s="6" t="n">
        <x:f>'회귀분석'!$B$7+'회귀분석'!$B$6*F81</x:f>
        <x:v>8.974512487512484</x:v>
      </x:c>
      <x:c r="J81" s="6" t="n">
        <x:f>'회귀분석'!$E$7+'회귀분석'!$E$6*F81+'회귀분석'!$E$5*H81</x:f>
        <x:v>0.2642027971986636</x:v>
      </x:c>
    </x:row>
    <x:row r="82">
      <x:c r="A82" s="6" t="n">
        <x:v>-2.4</x:v>
      </x:c>
      <x:c r="B82" s="6" t="n">
        <x:v>0.568</x:v>
      </x:c>
      <x:c r="C82" s="6" t="n">
        <x:v>4.34</x:v>
      </x:c>
      <x:c r="D82" s="6" t="n">
        <x:v>2.98</x:v>
      </x:c>
      <x:c r="E82" s="6" t="n">
        <x:v>3.15</x:v>
      </x:c>
      <x:c r="F82" s="6" t="n">
        <x:v>0.3</x:v>
      </x:c>
      <x:c r="G82" s="6" t="n">
        <x:v>3.43</x:v>
      </x:c>
      <x:c r="H82" s="6" t="n">
        <x:v>0.09</x:v>
      </x:c>
      <x:c r="I82" s="6" t="n">
        <x:f>'회귀분석'!$B$7+'회귀분석'!$B$6*F82</x:f>
        <x:v>12.016201798201784</x:v>
      </x:c>
      <x:c r="J82" s="6" t="n">
        <x:f>'회귀분석'!$E$7+'회귀분석'!$E$6*F82+'회귀분석'!$E$5*H82</x:f>
        <x:v>3.305892107887857</x:v>
      </x:c>
    </x:row>
    <x:row r="83">
      <x:c r="A83" s="6" t="n">
        <x:v>-2.4</x:v>
      </x:c>
      <x:c r="B83" s="6" t="n">
        <x:v>0.568</x:v>
      </x:c>
      <x:c r="C83" s="6" t="n">
        <x:v>4.34</x:v>
      </x:c>
      <x:c r="D83" s="6" t="n">
        <x:v>2.98</x:v>
      </x:c>
      <x:c r="E83" s="6" t="n">
        <x:v>3.15</x:v>
      </x:c>
      <x:c r="F83" s="6" t="n">
        <x:v>0.325</x:v>
      </x:c>
      <x:c r="G83" s="6" t="n">
        <x:v>4.62</x:v>
      </x:c>
      <x:c r="H83" s="6" t="n">
        <x:v>0.10562500000000001</x:v>
      </x:c>
      <x:c r="I83" s="6" t="n">
        <x:f>'회귀분석'!$B$7+'회귀분석'!$B$6*F83</x:f>
        <x:v>15.057891108891098</x:v>
      </x:c>
      <x:c r="J83" s="6" t="n">
        <x:f>'회귀분석'!$E$7+'회귀분석'!$E$6*F83+'회귀분석'!$E$5*H83</x:f>
        <x:v>7.4363701298663045</x:v>
      </x:c>
    </x:row>
    <x:row r="84">
      <x:c r="A84" s="6" t="n">
        <x:v>-2.4</x:v>
      </x:c>
      <x:c r="B84" s="6" t="n">
        <x:v>0.568</x:v>
      </x:c>
      <x:c r="C84" s="6" t="n">
        <x:v>4.34</x:v>
      </x:c>
      <x:c r="D84" s="6" t="n">
        <x:v>2.98</x:v>
      </x:c>
      <x:c r="E84" s="6" t="n">
        <x:v>3.15</x:v>
      </x:c>
      <x:c r="F84" s="6" t="n">
        <x:v>0.35</x:v>
      </x:c>
      <x:c r="G84" s="6" t="n">
        <x:v>6.86</x:v>
      </x:c>
      <x:c r="H84" s="6" t="n">
        <x:v>0.12249999999999998</x:v>
      </x:c>
      <x:c r="I84" s="6" t="n">
        <x:f>'회귀분석'!$B$7+'회귀분석'!$B$6*F84</x:f>
        <x:v>18.0995804195804</x:v>
      </x:c>
      <x:c r="J84" s="6" t="n">
        <x:f>'회귀분석'!$E$7+'회귀분석'!$E$6*F84+'회귀분석'!$E$5*H84</x:f>
        <x:v>12.655636863133978</x:v>
      </x:c>
    </x:row>
    <x:row r="85">
      <x:c r="A85" s="6" t="n">
        <x:v>-2.4</x:v>
      </x:c>
      <x:c r="B85" s="6" t="n">
        <x:v>0.568</x:v>
      </x:c>
      <x:c r="C85" s="6" t="n">
        <x:v>4.34</x:v>
      </x:c>
      <x:c r="D85" s="6" t="n">
        <x:v>2.98</x:v>
      </x:c>
      <x:c r="E85" s="6" t="n">
        <x:v>3.15</x:v>
      </x:c>
      <x:c r="F85" s="6" t="n">
        <x:v>0.375</x:v>
      </x:c>
      <x:c r="G85" s="6" t="n">
        <x:v>11.56</x:v>
      </x:c>
      <x:c r="H85" s="6" t="n">
        <x:v>0.140625</x:v>
      </x:c>
      <x:c r="I85" s="6" t="n">
        <x:f>'회귀분석'!$B$7+'회귀분석'!$B$6*F85</x:f>
        <x:v>21.141269730269713</x:v>
      </x:c>
      <x:c r="J85" s="6" t="n">
        <x:f>'회귀분석'!$E$7+'회귀분석'!$E$6*F85+'회귀분석'!$E$5*H85</x:f>
        <x:v>18.96369230769092</x:v>
      </x:c>
    </x:row>
    <x:row r="86">
      <x:c r="A86" s="6" t="n">
        <x:v>-2.4</x:v>
      </x:c>
      <x:c r="B86" s="6" t="n">
        <x:v>0.568</x:v>
      </x:c>
      <x:c r="C86" s="6" t="n">
        <x:v>4.34</x:v>
      </x:c>
      <x:c r="D86" s="6" t="n">
        <x:v>2.98</x:v>
      </x:c>
      <x:c r="E86" s="6" t="n">
        <x:v>3.15</x:v>
      </x:c>
      <x:c r="F86" s="6" t="n">
        <x:v>0.4</x:v>
      </x:c>
      <x:c r="G86" s="6" t="n">
        <x:v>20.63</x:v>
      </x:c>
      <x:c r="H86" s="6" t="n">
        <x:v>0.16000000000000003</x:v>
      </x:c>
      <x:c r="I86" s="6" t="n">
        <x:f>'회귀분석'!$B$7+'회귀분석'!$B$6*F86</x:f>
        <x:v>24.18295904095902</x:v>
      </x:c>
      <x:c r="J86" s="6" t="n">
        <x:f>'회귀분석'!$E$7+'회귀분석'!$E$6*F86+'회귀분석'!$E$5*H86</x:f>
        <x:v>26.360536463537102</x:v>
      </x:c>
    </x:row>
    <x:row r="87">
      <x:c r="A87" s="6" t="n">
        <x:v>-2.4</x:v>
      </x:c>
      <x:c r="B87" s="6" t="n">
        <x:v>0.568</x:v>
      </x:c>
      <x:c r="C87" s="6" t="n">
        <x:v>4.34</x:v>
      </x:c>
      <x:c r="D87" s="6" t="n">
        <x:v>2.98</x:v>
      </x:c>
      <x:c r="E87" s="6" t="n">
        <x:v>3.15</x:v>
      </x:c>
      <x:c r="F87" s="6" t="n">
        <x:v>0.425</x:v>
      </x:c>
      <x:c r="G87" s="6" t="n">
        <x:v>34.5</x:v>
      </x:c>
      <x:c r="H87" s="6" t="n">
        <x:v>0.18062499999999998</x:v>
      </x:c>
      <x:c r="I87" s="6" t="n">
        <x:f>'회귀분석'!$B$7+'회귀분석'!$B$6*F87</x:f>
        <x:v>27.224648351648327</x:v>
      </x:c>
      <x:c r="J87" s="6" t="n">
        <x:f>'회귀분석'!$E$7+'회귀분석'!$E$6*F87+'회귀분석'!$E$5*H87</x:f>
        <x:v>34.846169330672495</x:v>
      </x:c>
    </x:row>
    <x:row r="88">
      <x:c r="A88" s="6" t="n">
        <x:v>-2.4</x:v>
      </x:c>
      <x:c r="B88" s="6" t="n">
        <x:v>0.568</x:v>
      </x:c>
      <x:c r="C88" s="6" t="n">
        <x:v>4.34</x:v>
      </x:c>
      <x:c r="D88" s="6" t="n">
        <x:v>2.98</x:v>
      </x:c>
      <x:c r="E88" s="6" t="n">
        <x:v>3.15</x:v>
      </x:c>
      <x:c r="F88" s="6" t="n">
        <x:v>0.45</x:v>
      </x:c>
      <x:c r="G88" s="6" t="n">
        <x:v>54.23</x:v>
      </x:c>
      <x:c r="H88" s="6" t="n">
        <x:v>0.2025</x:v>
      </x:c>
      <x:c r="I88" s="6" t="n">
        <x:f>'회귀분석'!$B$7+'회귀분석'!$B$6*F88</x:f>
        <x:v>30.266337662337634</x:v>
      </x:c>
      <x:c r="J88" s="6" t="n">
        <x:f>'회귀분석'!$E$7+'회귀분석'!$E$6*F88+'회귀분석'!$E$5*H88</x:f>
        <x:v>44.42059090909717</x:v>
      </x:c>
    </x:row>
    <x:row r="89">
      <x:c r="A89" s="6" t="n">
        <x:v>-2.3</x:v>
      </x:c>
      <x:c r="B89" s="6" t="n">
        <x:v>0.562</x:v>
      </x:c>
      <x:c r="C89" s="6" t="n">
        <x:v>5.14</x:v>
      </x:c>
      <x:c r="D89" s="6" t="n">
        <x:v>4.95</x:v>
      </x:c>
      <x:c r="E89" s="6" t="n">
        <x:v>3.17</x:v>
      </x:c>
      <x:c r="F89" s="6" t="n">
        <x:v>0.125</x:v>
      </x:c>
      <x:c r="G89" s="6" t="n">
        <x:v>0.28</x:v>
      </x:c>
      <x:c r="H89" s="6" t="n">
        <x:v>0.015625</x:v>
      </x:c>
      <x:c r="I89" s="6" t="n">
        <x:f>'회귀분석'!$B$7+'회귀분석'!$B$6*F89</x:f>
        <x:v>-9.275623376623363</x:v>
      </x:c>
      <x:c r="J89" s="6" t="n">
        <x:f>'회귀분석'!$E$7+'회귀분석'!$E$6*F89+'회귀분석'!$E$5*H89</x:f>
        <x:v>4.878629870137585</x:v>
      </x:c>
    </x:row>
    <x:row r="90">
      <x:c r="A90" s="6" t="n">
        <x:v>-2.3</x:v>
      </x:c>
      <x:c r="B90" s="6" t="n">
        <x:v>0.562</x:v>
      </x:c>
      <x:c r="C90" s="6" t="n">
        <x:v>5.14</x:v>
      </x:c>
      <x:c r="D90" s="6" t="n">
        <x:v>4.95</x:v>
      </x:c>
      <x:c r="E90" s="6" t="n">
        <x:v>3.17</x:v>
      </x:c>
      <x:c r="F90" s="6" t="n">
        <x:v>0.15</x:v>
      </x:c>
      <x:c r="G90" s="6" t="n">
        <x:v>0.44</x:v>
      </x:c>
      <x:c r="H90" s="6" t="n">
        <x:v>0.0225</x:v>
      </x:c>
      <x:c r="I90" s="6" t="n">
        <x:f>'회귀분석'!$B$7+'회귀분석'!$B$6*F90</x:f>
        <x:v>-6.233934065934058</x:v>
      </x:c>
      <x:c r="J90" s="6" t="n">
        <x:f>'회귀분석'!$E$7+'회귀분석'!$E$6*F90+'회귀분석'!$E$5*H90</x:f>
        <x:v>1.3875869130913223</x:v>
      </x:c>
    </x:row>
    <x:row r="91">
      <x:c r="A91" s="6" t="n">
        <x:v>-2.3</x:v>
      </x:c>
      <x:c r="B91" s="6" t="n">
        <x:v>0.562</x:v>
      </x:c>
      <x:c r="C91" s="6" t="n">
        <x:v>5.14</x:v>
      </x:c>
      <x:c r="D91" s="6" t="n">
        <x:v>4.95</x:v>
      </x:c>
      <x:c r="E91" s="6" t="n">
        <x:v>3.17</x:v>
      </x:c>
      <x:c r="F91" s="6" t="n">
        <x:v>0.175</x:v>
      </x:c>
      <x:c r="G91" s="6" t="n">
        <x:v>0.7</x:v>
      </x:c>
      <x:c r="H91" s="6" t="n">
        <x:v>0.030624999999999996</x:v>
      </x:c>
      <x:c r="I91" s="6" t="n">
        <x:f>'회귀분석'!$B$7+'회귀분석'!$B$6*F91</x:f>
        <x:v>-3.192244755244751</x:v>
      </x:c>
      <x:c r="J91" s="6" t="n">
        <x:f>'회귀분석'!$E$7+'회귀분석'!$E$6*F91+'회귀분석'!$E$5*H91</x:f>
        <x:v>-1.0146673326656988</x:v>
      </x:c>
    </x:row>
    <x:row r="92">
      <x:c r="A92" s="6" t="n">
        <x:v>-2.3</x:v>
      </x:c>
      <x:c r="B92" s="6" t="n">
        <x:v>0.562</x:v>
      </x:c>
      <x:c r="C92" s="6" t="n">
        <x:v>5.14</x:v>
      </x:c>
      <x:c r="D92" s="6" t="n">
        <x:v>4.95</x:v>
      </x:c>
      <x:c r="E92" s="6" t="n">
        <x:v>3.17</x:v>
      </x:c>
      <x:c r="F92" s="6" t="n">
        <x:v>0.2</x:v>
      </x:c>
      <x:c r="G92" s="6" t="n">
        <x:v>1.07</x:v>
      </x:c>
      <x:c r="H92" s="6" t="n">
        <x:v>0.04000000000000001</x:v>
      </x:c>
      <x:c r="I92" s="6" t="n">
        <x:f>'회귀분석'!$B$7+'회귀분석'!$B$6*F92</x:f>
        <x:v>-0.15055544455544023</x:v>
      </x:c>
      <x:c r="J92" s="6" t="n">
        <x:f>'회귀분석'!$E$7+'회귀분석'!$E$6*F92+'회귀분석'!$E$5*H92</x:f>
        <x:v>-2.3281328671334762</x:v>
      </x:c>
    </x:row>
    <x:row r="93">
      <x:c r="A93" s="6" t="n">
        <x:v>-2.3</x:v>
      </x:c>
      <x:c r="B93" s="6" t="n">
        <x:v>0.562</x:v>
      </x:c>
      <x:c r="C93" s="6" t="n">
        <x:v>5.14</x:v>
      </x:c>
      <x:c r="D93" s="6" t="n">
        <x:v>4.95</x:v>
      </x:c>
      <x:c r="E93" s="6" t="n">
        <x:v>3.17</x:v>
      </x:c>
      <x:c r="F93" s="6" t="n">
        <x:v>0.225</x:v>
      </x:c>
      <x:c r="G93" s="6" t="n">
        <x:v>1.57</x:v>
      </x:c>
      <x:c r="H93" s="6" t="n">
        <x:v>0.050625</x:v>
      </x:c>
      <x:c r="I93" s="6" t="n">
        <x:f>'회귀분석'!$B$7+'회귀분석'!$B$6*F93</x:f>
        <x:v>2.891133866133867</x:v>
      </x:c>
      <x:c r="J93" s="6" t="n">
        <x:f>'회귀분석'!$E$7+'회귀분석'!$E$6*F93+'회귀분석'!$E$5*H93</x:f>
        <x:v>-2.55280969031201</x:v>
      </x:c>
    </x:row>
    <x:row r="94">
      <x:c r="A94" s="6" t="n">
        <x:v>-2.3</x:v>
      </x:c>
      <x:c r="B94" s="6" t="n">
        <x:v>0.562</x:v>
      </x:c>
      <x:c r="C94" s="6" t="n">
        <x:v>5.14</x:v>
      </x:c>
      <x:c r="D94" s="6" t="n">
        <x:v>4.95</x:v>
      </x:c>
      <x:c r="E94" s="6" t="n">
        <x:v>3.17</x:v>
      </x:c>
      <x:c r="F94" s="6" t="n">
        <x:v>0.25</x:v>
      </x:c>
      <x:c r="G94" s="6" t="n">
        <x:v>2.23</x:v>
      </x:c>
      <x:c r="H94" s="6" t="n">
        <x:v>0.0625</x:v>
      </x:c>
      <x:c r="I94" s="6" t="n">
        <x:f>'회귀분석'!$B$7+'회귀분석'!$B$6*F94</x:f>
        <x:v>5.932823176823174</x:v>
      </x:c>
      <x:c r="J94" s="6" t="n">
        <x:f>'회귀분석'!$E$7+'회귀분석'!$E$6*F94+'회귀분석'!$E$5*H94</x:f>
        <x:v>-1.6886978022012968</x:v>
      </x:c>
    </x:row>
    <x:row r="95">
      <x:c r="A95" s="6" t="n">
        <x:v>-2.3</x:v>
      </x:c>
      <x:c r="B95" s="6" t="n">
        <x:v>0.562</x:v>
      </x:c>
      <x:c r="C95" s="6" t="n">
        <x:v>5.14</x:v>
      </x:c>
      <x:c r="D95" s="6" t="n">
        <x:v>4.95</x:v>
      </x:c>
      <x:c r="E95" s="6" t="n">
        <x:v>3.17</x:v>
      </x:c>
      <x:c r="F95" s="6" t="n">
        <x:v>0.275</x:v>
      </x:c>
      <x:c r="G95" s="6" t="n">
        <x:v>3.09</x:v>
      </x:c>
      <x:c r="H95" s="6" t="n">
        <x:v>0.07562500000000001</x:v>
      </x:c>
      <x:c r="I95" s="6" t="n">
        <x:f>'회귀분석'!$B$7+'회귀분석'!$B$6*F95</x:f>
        <x:v>8.974512487512484</x:v>
      </x:c>
      <x:c r="J95" s="6" t="n">
        <x:f>'회귀분석'!$E$7+'회귀분석'!$E$6*F95+'회귀분석'!$E$5*H95</x:f>
        <x:v>0.2642027971986636</x:v>
      </x:c>
    </x:row>
    <x:row r="96">
      <x:c r="A96" s="6" t="n">
        <x:v>-2.3</x:v>
      </x:c>
      <x:c r="B96" s="6" t="n">
        <x:v>0.562</x:v>
      </x:c>
      <x:c r="C96" s="6" t="n">
        <x:v>5.14</x:v>
      </x:c>
      <x:c r="D96" s="6" t="n">
        <x:v>4.95</x:v>
      </x:c>
      <x:c r="E96" s="6" t="n">
        <x:v>3.17</x:v>
      </x:c>
      <x:c r="F96" s="6" t="n">
        <x:v>0.3</x:v>
      </x:c>
      <x:c r="G96" s="6" t="n">
        <x:v>4.09</x:v>
      </x:c>
      <x:c r="H96" s="6" t="n">
        <x:v>0.09</x:v>
      </x:c>
      <x:c r="I96" s="6" t="n">
        <x:f>'회귀분석'!$B$7+'회귀분석'!$B$6*F96</x:f>
        <x:v>12.016201798201784</x:v>
      </x:c>
      <x:c r="J96" s="6" t="n">
        <x:f>'회귀분석'!$E$7+'회귀분석'!$E$6*F96+'회귀분석'!$E$5*H96</x:f>
        <x:v>3.305892107887857</x:v>
      </x:c>
    </x:row>
    <x:row r="97">
      <x:c r="A97" s="6" t="n">
        <x:v>-2.3</x:v>
      </x:c>
      <x:c r="B97" s="6" t="n">
        <x:v>0.562</x:v>
      </x:c>
      <x:c r="C97" s="6" t="n">
        <x:v>5.14</x:v>
      </x:c>
      <x:c r="D97" s="6" t="n">
        <x:v>4.95</x:v>
      </x:c>
      <x:c r="E97" s="6" t="n">
        <x:v>3.17</x:v>
      </x:c>
      <x:c r="F97" s="6" t="n">
        <x:v>0.325</x:v>
      </x:c>
      <x:c r="G97" s="6" t="n">
        <x:v>5.82</x:v>
      </x:c>
      <x:c r="H97" s="6" t="n">
        <x:v>0.10562500000000001</x:v>
      </x:c>
      <x:c r="I97" s="6" t="n">
        <x:f>'회귀분석'!$B$7+'회귀분석'!$B$6*F97</x:f>
        <x:v>15.057891108891098</x:v>
      </x:c>
      <x:c r="J97" s="6" t="n">
        <x:f>'회귀분석'!$E$7+'회귀분석'!$E$6*F97+'회귀분석'!$E$5*H97</x:f>
        <x:v>7.4363701298663045</x:v>
      </x:c>
    </x:row>
    <x:row r="98">
      <x:c r="A98" s="6" t="n">
        <x:v>-2.3</x:v>
      </x:c>
      <x:c r="B98" s="6" t="n">
        <x:v>0.562</x:v>
      </x:c>
      <x:c r="C98" s="6" t="n">
        <x:v>5.14</x:v>
      </x:c>
      <x:c r="D98" s="6" t="n">
        <x:v>4.95</x:v>
      </x:c>
      <x:c r="E98" s="6" t="n">
        <x:v>3.17</x:v>
      </x:c>
      <x:c r="F98" s="6" t="n">
        <x:v>0.35</x:v>
      </x:c>
      <x:c r="G98" s="6" t="n">
        <x:v>8.28</x:v>
      </x:c>
      <x:c r="H98" s="6" t="n">
        <x:v>0.12249999999999998</x:v>
      </x:c>
      <x:c r="I98" s="6" t="n">
        <x:f>'회귀분석'!$B$7+'회귀분석'!$B$6*F98</x:f>
        <x:v>18.0995804195804</x:v>
      </x:c>
      <x:c r="J98" s="6" t="n">
        <x:f>'회귀분석'!$E$7+'회귀분석'!$E$6*F98+'회귀분석'!$E$5*H98</x:f>
        <x:v>12.655636863133978</x:v>
      </x:c>
    </x:row>
    <x:row r="99">
      <x:c r="A99" s="6" t="n">
        <x:v>-2.3</x:v>
      </x:c>
      <x:c r="B99" s="6" t="n">
        <x:v>0.562</x:v>
      </x:c>
      <x:c r="C99" s="6" t="n">
        <x:v>5.14</x:v>
      </x:c>
      <x:c r="D99" s="6" t="n">
        <x:v>4.95</x:v>
      </x:c>
      <x:c r="E99" s="6" t="n">
        <x:v>3.17</x:v>
      </x:c>
      <x:c r="F99" s="6" t="n">
        <x:v>0.375</x:v>
      </x:c>
      <x:c r="G99" s="6" t="n">
        <x:v>12.8</x:v>
      </x:c>
      <x:c r="H99" s="6" t="n">
        <x:v>0.140625</x:v>
      </x:c>
      <x:c r="I99" s="6" t="n">
        <x:f>'회귀분석'!$B$7+'회귀분석'!$B$6*F99</x:f>
        <x:v>21.141269730269713</x:v>
      </x:c>
      <x:c r="J99" s="6" t="n">
        <x:f>'회귀분석'!$E$7+'회귀분석'!$E$6*F99+'회귀분석'!$E$5*H99</x:f>
        <x:v>18.96369230769092</x:v>
      </x:c>
    </x:row>
    <x:row r="100">
      <x:c r="A100" s="6" t="n">
        <x:v>-2.3</x:v>
      </x:c>
      <x:c r="B100" s="6" t="n">
        <x:v>0.562</x:v>
      </x:c>
      <x:c r="C100" s="6" t="n">
        <x:v>5.14</x:v>
      </x:c>
      <x:c r="D100" s="6" t="n">
        <x:v>4.95</x:v>
      </x:c>
      <x:c r="E100" s="6" t="n">
        <x:v>3.17</x:v>
      </x:c>
      <x:c r="F100" s="6" t="n">
        <x:v>0.4</x:v>
      </x:c>
      <x:c r="G100" s="6" t="n">
        <x:v>20.41</x:v>
      </x:c>
      <x:c r="H100" s="6" t="n">
        <x:v>0.16000000000000003</x:v>
      </x:c>
      <x:c r="I100" s="6" t="n">
        <x:f>'회귀분석'!$B$7+'회귀분석'!$B$6*F100</x:f>
        <x:v>24.18295904095902</x:v>
      </x:c>
      <x:c r="J100" s="6" t="n">
        <x:f>'회귀분석'!$E$7+'회귀분석'!$E$6*F100+'회귀분석'!$E$5*H100</x:f>
        <x:v>26.360536463537102</x:v>
      </x:c>
    </x:row>
    <x:row r="101">
      <x:c r="A101" s="6" t="n">
        <x:v>-2.3</x:v>
      </x:c>
      <x:c r="B101" s="6" t="n">
        <x:v>0.562</x:v>
      </x:c>
      <x:c r="C101" s="6" t="n">
        <x:v>5.14</x:v>
      </x:c>
      <x:c r="D101" s="6" t="n">
        <x:v>4.95</x:v>
      </x:c>
      <x:c r="E101" s="6" t="n">
        <x:v>3.17</x:v>
      </x:c>
      <x:c r="F101" s="6" t="n">
        <x:v>0.425</x:v>
      </x:c>
      <x:c r="G101" s="6" t="n">
        <x:v>32.34</x:v>
      </x:c>
      <x:c r="H101" s="6" t="n">
        <x:v>0.18062499999999998</x:v>
      </x:c>
      <x:c r="I101" s="6" t="n">
        <x:f>'회귀분석'!$B$7+'회귀분석'!$B$6*F101</x:f>
        <x:v>27.224648351648327</x:v>
      </x:c>
      <x:c r="J101" s="6" t="n">
        <x:f>'회귀분석'!$E$7+'회귀분석'!$E$6*F101+'회귀분석'!$E$5*H101</x:f>
        <x:v>34.846169330672495</x:v>
      </x:c>
    </x:row>
    <x:row r="102">
      <x:c r="A102" s="6" t="n">
        <x:v>-2.3</x:v>
      </x:c>
      <x:c r="B102" s="6" t="n">
        <x:v>0.562</x:v>
      </x:c>
      <x:c r="C102" s="6" t="n">
        <x:v>5.14</x:v>
      </x:c>
      <x:c r="D102" s="6" t="n">
        <x:v>4.95</x:v>
      </x:c>
      <x:c r="E102" s="6" t="n">
        <x:v>3.17</x:v>
      </x:c>
      <x:c r="F102" s="6" t="n">
        <x:v>0.45</x:v>
      </x:c>
      <x:c r="G102" s="6" t="n">
        <x:v>47.29</x:v>
      </x:c>
      <x:c r="H102" s="6" t="n">
        <x:v>0.2025</x:v>
      </x:c>
      <x:c r="I102" s="6" t="n">
        <x:f>'회귀분석'!$B$7+'회귀분석'!$B$6*F102</x:f>
        <x:v>30.266337662337634</x:v>
      </x:c>
      <x:c r="J102" s="6" t="n">
        <x:f>'회귀분석'!$E$7+'회귀분석'!$E$6*F102+'회귀분석'!$E$5*H102</x:f>
        <x:v>44.42059090909717</x:v>
      </x:c>
    </x:row>
    <x:row r="103">
      <x:c r="A103" s="6" t="n">
        <x:v>-2.4</x:v>
      </x:c>
      <x:c r="B103" s="6" t="n">
        <x:v>0.585</x:v>
      </x:c>
      <x:c r="C103" s="6" t="n">
        <x:v>4.78</x:v>
      </x:c>
      <x:c r="D103" s="6" t="n">
        <x:v>3.84</x:v>
      </x:c>
      <x:c r="E103" s="6" t="n">
        <x:v>3.32</x:v>
      </x:c>
      <x:c r="F103" s="6" t="n">
        <x:v>0.125</x:v>
      </x:c>
      <x:c r="G103" s="6" t="n">
        <x:v>0.2</x:v>
      </x:c>
      <x:c r="H103" s="6" t="n">
        <x:v>0.015625</x:v>
      </x:c>
      <x:c r="I103" s="6" t="n">
        <x:f>'회귀분석'!$B$7+'회귀분석'!$B$6*F103</x:f>
        <x:v>-9.275623376623363</x:v>
      </x:c>
      <x:c r="J103" s="6" t="n">
        <x:f>'회귀분석'!$E$7+'회귀분석'!$E$6*F103+'회귀분석'!$E$5*H103</x:f>
        <x:v>4.878629870137585</x:v>
      </x:c>
    </x:row>
    <x:row r="104">
      <x:c r="A104" s="6" t="n">
        <x:v>-2.4</x:v>
      </x:c>
      <x:c r="B104" s="6" t="n">
        <x:v>0.585</x:v>
      </x:c>
      <x:c r="C104" s="6" t="n">
        <x:v>4.78</x:v>
      </x:c>
      <x:c r="D104" s="6" t="n">
        <x:v>3.84</x:v>
      </x:c>
      <x:c r="E104" s="6" t="n">
        <x:v>3.32</x:v>
      </x:c>
      <x:c r="F104" s="6" t="n">
        <x:v>0.15</x:v>
      </x:c>
      <x:c r="G104" s="6" t="n">
        <x:v>0.38</x:v>
      </x:c>
      <x:c r="H104" s="6" t="n">
        <x:v>0.0225</x:v>
      </x:c>
      <x:c r="I104" s="6" t="n">
        <x:f>'회귀분석'!$B$7+'회귀분석'!$B$6*F104</x:f>
        <x:v>-6.233934065934058</x:v>
      </x:c>
      <x:c r="J104" s="6" t="n">
        <x:f>'회귀분석'!$E$7+'회귀분석'!$E$6*F104+'회귀분석'!$E$5*H104</x:f>
        <x:v>1.3875869130913223</x:v>
      </x:c>
    </x:row>
    <x:row r="105">
      <x:c r="A105" s="6" t="n">
        <x:v>-2.4</x:v>
      </x:c>
      <x:c r="B105" s="6" t="n">
        <x:v>0.585</x:v>
      </x:c>
      <x:c r="C105" s="6" t="n">
        <x:v>4.78</x:v>
      </x:c>
      <x:c r="D105" s="6" t="n">
        <x:v>3.84</x:v>
      </x:c>
      <x:c r="E105" s="6" t="n">
        <x:v>3.32</x:v>
      </x:c>
      <x:c r="F105" s="6" t="n">
        <x:v>0.175</x:v>
      </x:c>
      <x:c r="G105" s="6" t="n">
        <x:v>0.64</x:v>
      </x:c>
      <x:c r="H105" s="6" t="n">
        <x:v>0.030624999999999996</x:v>
      </x:c>
      <x:c r="I105" s="6" t="n">
        <x:f>'회귀분석'!$B$7+'회귀분석'!$B$6*F105</x:f>
        <x:v>-3.192244755244751</x:v>
      </x:c>
      <x:c r="J105" s="6" t="n">
        <x:f>'회귀분석'!$E$7+'회귀분석'!$E$6*F105+'회귀분석'!$E$5*H105</x:f>
        <x:v>-1.0146673326656988</x:v>
      </x:c>
    </x:row>
    <x:row r="106">
      <x:c r="A106" s="6" t="n">
        <x:v>-2.4</x:v>
      </x:c>
      <x:c r="B106" s="6" t="n">
        <x:v>0.585</x:v>
      </x:c>
      <x:c r="C106" s="6" t="n">
        <x:v>4.78</x:v>
      </x:c>
      <x:c r="D106" s="6" t="n">
        <x:v>3.84</x:v>
      </x:c>
      <x:c r="E106" s="6" t="n">
        <x:v>3.32</x:v>
      </x:c>
      <x:c r="F106" s="6" t="n">
        <x:v>0.2</x:v>
      </x:c>
      <x:c r="G106" s="6" t="n">
        <x:v>0.97</x:v>
      </x:c>
      <x:c r="H106" s="6" t="n">
        <x:v>0.04000000000000001</x:v>
      </x:c>
      <x:c r="I106" s="6" t="n">
        <x:f>'회귀분석'!$B$7+'회귀분석'!$B$6*F106</x:f>
        <x:v>-0.15055544455544023</x:v>
      </x:c>
      <x:c r="J106" s="6" t="n">
        <x:f>'회귀분석'!$E$7+'회귀분석'!$E$6*F106+'회귀분석'!$E$5*H106</x:f>
        <x:v>-2.3281328671334762</x:v>
      </x:c>
    </x:row>
    <x:row r="107">
      <x:c r="A107" s="6" t="n">
        <x:v>-2.4</x:v>
      </x:c>
      <x:c r="B107" s="6" t="n">
        <x:v>0.585</x:v>
      </x:c>
      <x:c r="C107" s="6" t="n">
        <x:v>4.78</x:v>
      </x:c>
      <x:c r="D107" s="6" t="n">
        <x:v>3.84</x:v>
      </x:c>
      <x:c r="E107" s="6" t="n">
        <x:v>3.32</x:v>
      </x:c>
      <x:c r="F107" s="6" t="n">
        <x:v>0.225</x:v>
      </x:c>
      <x:c r="G107" s="6" t="n">
        <x:v>1.36</x:v>
      </x:c>
      <x:c r="H107" s="6" t="n">
        <x:v>0.050625</x:v>
      </x:c>
      <x:c r="I107" s="6" t="n">
        <x:f>'회귀분석'!$B$7+'회귀분석'!$B$6*F107</x:f>
        <x:v>2.891133866133867</x:v>
      </x:c>
      <x:c r="J107" s="6" t="n">
        <x:f>'회귀분석'!$E$7+'회귀분석'!$E$6*F107+'회귀분석'!$E$5*H107</x:f>
        <x:v>-2.55280969031201</x:v>
      </x:c>
    </x:row>
    <x:row r="108">
      <x:c r="A108" s="6" t="n">
        <x:v>-2.4</x:v>
      </x:c>
      <x:c r="B108" s="6" t="n">
        <x:v>0.585</x:v>
      </x:c>
      <x:c r="C108" s="6" t="n">
        <x:v>4.78</x:v>
      </x:c>
      <x:c r="D108" s="6" t="n">
        <x:v>3.84</x:v>
      </x:c>
      <x:c r="E108" s="6" t="n">
        <x:v>3.32</x:v>
      </x:c>
      <x:c r="F108" s="6" t="n">
        <x:v>0.25</x:v>
      </x:c>
      <x:c r="G108" s="6" t="n">
        <x:v>1.98</x:v>
      </x:c>
      <x:c r="H108" s="6" t="n">
        <x:v>0.0625</x:v>
      </x:c>
      <x:c r="I108" s="6" t="n">
        <x:f>'회귀분석'!$B$7+'회귀분석'!$B$6*F108</x:f>
        <x:v>5.932823176823174</x:v>
      </x:c>
      <x:c r="J108" s="6" t="n">
        <x:f>'회귀분석'!$E$7+'회귀분석'!$E$6*F108+'회귀분석'!$E$5*H108</x:f>
        <x:v>-1.6886978022012968</x:v>
      </x:c>
    </x:row>
    <x:row r="109">
      <x:c r="A109" s="6" t="n">
        <x:v>-2.4</x:v>
      </x:c>
      <x:c r="B109" s="6" t="n">
        <x:v>0.585</x:v>
      </x:c>
      <x:c r="C109" s="6" t="n">
        <x:v>4.78</x:v>
      </x:c>
      <x:c r="D109" s="6" t="n">
        <x:v>3.84</x:v>
      </x:c>
      <x:c r="E109" s="6" t="n">
        <x:v>3.32</x:v>
      </x:c>
      <x:c r="F109" s="6" t="n">
        <x:v>0.275</x:v>
      </x:c>
      <x:c r="G109" s="6" t="n">
        <x:v>2.91</x:v>
      </x:c>
      <x:c r="H109" s="6" t="n">
        <x:v>0.07562500000000001</x:v>
      </x:c>
      <x:c r="I109" s="6" t="n">
        <x:f>'회귀분석'!$B$7+'회귀분석'!$B$6*F109</x:f>
        <x:v>8.974512487512484</x:v>
      </x:c>
      <x:c r="J109" s="6" t="n">
        <x:f>'회귀분석'!$E$7+'회귀분석'!$E$6*F109+'회귀분석'!$E$5*H109</x:f>
        <x:v>0.2642027971986636</x:v>
      </x:c>
    </x:row>
    <x:row r="110">
      <x:c r="A110" s="6" t="n">
        <x:v>-2.4</x:v>
      </x:c>
      <x:c r="B110" s="6" t="n">
        <x:v>0.585</x:v>
      </x:c>
      <x:c r="C110" s="6" t="n">
        <x:v>4.78</x:v>
      </x:c>
      <x:c r="D110" s="6" t="n">
        <x:v>3.84</x:v>
      </x:c>
      <x:c r="E110" s="6" t="n">
        <x:v>3.32</x:v>
      </x:c>
      <x:c r="F110" s="6" t="n">
        <x:v>0.3</x:v>
      </x:c>
      <x:c r="G110" s="6" t="n">
        <x:v>4.35</x:v>
      </x:c>
      <x:c r="H110" s="6" t="n">
        <x:v>0.09</x:v>
      </x:c>
      <x:c r="I110" s="6" t="n">
        <x:f>'회귀분석'!$B$7+'회귀분석'!$B$6*F110</x:f>
        <x:v>12.016201798201784</x:v>
      </x:c>
      <x:c r="J110" s="6" t="n">
        <x:f>'회귀분석'!$E$7+'회귀분석'!$E$6*F110+'회귀분석'!$E$5*H110</x:f>
        <x:v>3.305892107887857</x:v>
      </x:c>
    </x:row>
    <x:row r="111">
      <x:c r="A111" s="6" t="n">
        <x:v>-2.4</x:v>
      </x:c>
      <x:c r="B111" s="6" t="n">
        <x:v>0.585</x:v>
      </x:c>
      <x:c r="C111" s="6" t="n">
        <x:v>4.78</x:v>
      </x:c>
      <x:c r="D111" s="6" t="n">
        <x:v>3.84</x:v>
      </x:c>
      <x:c r="E111" s="6" t="n">
        <x:v>3.32</x:v>
      </x:c>
      <x:c r="F111" s="6" t="n">
        <x:v>0.325</x:v>
      </x:c>
      <x:c r="G111" s="6" t="n">
        <x:v>5.79</x:v>
      </x:c>
      <x:c r="H111" s="6" t="n">
        <x:v>0.10562500000000001</x:v>
      </x:c>
      <x:c r="I111" s="6" t="n">
        <x:f>'회귀분석'!$B$7+'회귀분석'!$B$6*F111</x:f>
        <x:v>15.057891108891098</x:v>
      </x:c>
      <x:c r="J111" s="6" t="n">
        <x:f>'회귀분석'!$E$7+'회귀분석'!$E$6*F111+'회귀분석'!$E$5*H111</x:f>
        <x:v>7.4363701298663045</x:v>
      </x:c>
    </x:row>
    <x:row r="112">
      <x:c r="A112" s="6" t="n">
        <x:v>-2.4</x:v>
      </x:c>
      <x:c r="B112" s="6" t="n">
        <x:v>0.585</x:v>
      </x:c>
      <x:c r="C112" s="6" t="n">
        <x:v>4.78</x:v>
      </x:c>
      <x:c r="D112" s="6" t="n">
        <x:v>3.84</x:v>
      </x:c>
      <x:c r="E112" s="6" t="n">
        <x:v>3.32</x:v>
      </x:c>
      <x:c r="F112" s="6" t="n">
        <x:v>0.35</x:v>
      </x:c>
      <x:c r="G112" s="6" t="n">
        <x:v>8.04</x:v>
      </x:c>
      <x:c r="H112" s="6" t="n">
        <x:v>0.12249999999999998</x:v>
      </x:c>
      <x:c r="I112" s="6" t="n">
        <x:f>'회귀분석'!$B$7+'회귀분석'!$B$6*F112</x:f>
        <x:v>18.0995804195804</x:v>
      </x:c>
      <x:c r="J112" s="6" t="n">
        <x:f>'회귀분석'!$E$7+'회귀분석'!$E$6*F112+'회귀분석'!$E$5*H112</x:f>
        <x:v>12.655636863133978</x:v>
      </x:c>
    </x:row>
    <x:row r="113">
      <x:c r="A113" s="6" t="n">
        <x:v>-2.4</x:v>
      </x:c>
      <x:c r="B113" s="6" t="n">
        <x:v>0.585</x:v>
      </x:c>
      <x:c r="C113" s="6" t="n">
        <x:v>4.78</x:v>
      </x:c>
      <x:c r="D113" s="6" t="n">
        <x:v>3.84</x:v>
      </x:c>
      <x:c r="E113" s="6" t="n">
        <x:v>3.32</x:v>
      </x:c>
      <x:c r="F113" s="6" t="n">
        <x:v>0.375</x:v>
      </x:c>
      <x:c r="G113" s="6" t="n">
        <x:v>12.15</x:v>
      </x:c>
      <x:c r="H113" s="6" t="n">
        <x:v>0.140625</x:v>
      </x:c>
      <x:c r="I113" s="6" t="n">
        <x:f>'회귀분석'!$B$7+'회귀분석'!$B$6*F113</x:f>
        <x:v>21.141269730269713</x:v>
      </x:c>
      <x:c r="J113" s="6" t="n">
        <x:f>'회귀분석'!$E$7+'회귀분석'!$E$6*F113+'회귀분석'!$E$5*H113</x:f>
        <x:v>18.96369230769092</x:v>
      </x:c>
    </x:row>
    <x:row r="114">
      <x:c r="A114" s="6" t="n">
        <x:v>-2.4</x:v>
      </x:c>
      <x:c r="B114" s="6" t="n">
        <x:v>0.585</x:v>
      </x:c>
      <x:c r="C114" s="6" t="n">
        <x:v>4.78</x:v>
      </x:c>
      <x:c r="D114" s="6" t="n">
        <x:v>3.84</x:v>
      </x:c>
      <x:c r="E114" s="6" t="n">
        <x:v>3.32</x:v>
      </x:c>
      <x:c r="F114" s="6" t="n">
        <x:v>0.4</x:v>
      </x:c>
      <x:c r="G114" s="6" t="n">
        <x:v>19.18</x:v>
      </x:c>
      <x:c r="H114" s="6" t="n">
        <x:v>0.16000000000000003</x:v>
      </x:c>
      <x:c r="I114" s="6" t="n">
        <x:f>'회귀분석'!$B$7+'회귀분석'!$B$6*F114</x:f>
        <x:v>24.18295904095902</x:v>
      </x:c>
      <x:c r="J114" s="6" t="n">
        <x:f>'회귀분석'!$E$7+'회귀분석'!$E$6*F114+'회귀분석'!$E$5*H114</x:f>
        <x:v>26.360536463537102</x:v>
      </x:c>
    </x:row>
    <x:row r="115">
      <x:c r="A115" s="6" t="n">
        <x:v>-2.4</x:v>
      </x:c>
      <x:c r="B115" s="6" t="n">
        <x:v>0.585</x:v>
      </x:c>
      <x:c r="C115" s="6" t="n">
        <x:v>4.78</x:v>
      </x:c>
      <x:c r="D115" s="6" t="n">
        <x:v>3.84</x:v>
      </x:c>
      <x:c r="E115" s="6" t="n">
        <x:v>3.32</x:v>
      </x:c>
      <x:c r="F115" s="6" t="n">
        <x:v>0.425</x:v>
      </x:c>
      <x:c r="G115" s="6" t="n">
        <x:v>30.09</x:v>
      </x:c>
      <x:c r="H115" s="6" t="n">
        <x:v>0.18062499999999998</x:v>
      </x:c>
      <x:c r="I115" s="6" t="n">
        <x:f>'회귀분석'!$B$7+'회귀분석'!$B$6*F115</x:f>
        <x:v>27.224648351648327</x:v>
      </x:c>
      <x:c r="J115" s="6" t="n">
        <x:f>'회귀분석'!$E$7+'회귀분석'!$E$6*F115+'회귀분석'!$E$5*H115</x:f>
        <x:v>34.846169330672495</x:v>
      </x:c>
    </x:row>
    <x:row r="116">
      <x:c r="A116" s="6" t="n">
        <x:v>-2.4</x:v>
      </x:c>
      <x:c r="B116" s="6" t="n">
        <x:v>0.585</x:v>
      </x:c>
      <x:c r="C116" s="6" t="n">
        <x:v>4.78</x:v>
      </x:c>
      <x:c r="D116" s="6" t="n">
        <x:v>3.84</x:v>
      </x:c>
      <x:c r="E116" s="6" t="n">
        <x:v>3.32</x:v>
      </x:c>
      <x:c r="F116" s="6" t="n">
        <x:v>0.45</x:v>
      </x:c>
      <x:c r="G116" s="6" t="n">
        <x:v>44.38</x:v>
      </x:c>
      <x:c r="H116" s="6" t="n">
        <x:v>0.2025</x:v>
      </x:c>
      <x:c r="I116" s="6" t="n">
        <x:f>'회귀분석'!$B$7+'회귀분석'!$B$6*F116</x:f>
        <x:v>30.266337662337634</x:v>
      </x:c>
      <x:c r="J116" s="6" t="n">
        <x:f>'회귀분석'!$E$7+'회귀분석'!$E$6*F116+'회귀분석'!$E$5*H116</x:f>
        <x:v>44.42059090909717</x:v>
      </x:c>
    </x:row>
    <x:row r="117">
      <x:c r="A117" s="6" t="n">
        <x:v>-2.2</x:v>
      </x:c>
      <x:c r="B117" s="6" t="n">
        <x:v>0.546</x:v>
      </x:c>
      <x:c r="C117" s="6" t="n">
        <x:v>4.78</x:v>
      </x:c>
      <x:c r="D117" s="6" t="n">
        <x:v>4.13</x:v>
      </x:c>
      <x:c r="E117" s="6" t="n">
        <x:v>3.07</x:v>
      </x:c>
      <x:c r="F117" s="6" t="n">
        <x:v>0.125</x:v>
      </x:c>
      <x:c r="G117" s="6" t="n">
        <x:v>0.15</x:v>
      </x:c>
      <x:c r="H117" s="6" t="n">
        <x:v>0.015625</x:v>
      </x:c>
      <x:c r="I117" s="6" t="n">
        <x:f>'회귀분석'!$B$7+'회귀분석'!$B$6*F117</x:f>
        <x:v>-9.275623376623363</x:v>
      </x:c>
      <x:c r="J117" s="6" t="n">
        <x:f>'회귀분석'!$E$7+'회귀분석'!$E$6*F117+'회귀분석'!$E$5*H117</x:f>
        <x:v>4.878629870137585</x:v>
      </x:c>
    </x:row>
    <x:row r="118">
      <x:c r="A118" s="6" t="n">
        <x:v>-2.2</x:v>
      </x:c>
      <x:c r="B118" s="6" t="n">
        <x:v>0.546</x:v>
      </x:c>
      <x:c r="C118" s="6" t="n">
        <x:v>4.78</x:v>
      </x:c>
      <x:c r="D118" s="6" t="n">
        <x:v>4.13</x:v>
      </x:c>
      <x:c r="E118" s="6" t="n">
        <x:v>3.07</x:v>
      </x:c>
      <x:c r="F118" s="6" t="n">
        <x:v>0.15</x:v>
      </x:c>
      <x:c r="G118" s="6" t="n">
        <x:v>0.32</x:v>
      </x:c>
      <x:c r="H118" s="6" t="n">
        <x:v>0.0225</x:v>
      </x:c>
      <x:c r="I118" s="6" t="n">
        <x:f>'회귀분석'!$B$7+'회귀분석'!$B$6*F118</x:f>
        <x:v>-6.233934065934058</x:v>
      </x:c>
      <x:c r="J118" s="6" t="n">
        <x:f>'회귀분석'!$E$7+'회귀분석'!$E$6*F118+'회귀분석'!$E$5*H118</x:f>
        <x:v>1.3875869130913223</x:v>
      </x:c>
    </x:row>
    <x:row r="119">
      <x:c r="A119" s="6" t="n">
        <x:v>-2.2</x:v>
      </x:c>
      <x:c r="B119" s="6" t="n">
        <x:v>0.546</x:v>
      </x:c>
      <x:c r="C119" s="6" t="n">
        <x:v>4.78</x:v>
      </x:c>
      <x:c r="D119" s="6" t="n">
        <x:v>4.13</x:v>
      </x:c>
      <x:c r="E119" s="6" t="n">
        <x:v>3.07</x:v>
      </x:c>
      <x:c r="F119" s="6" t="n">
        <x:v>0.175</x:v>
      </x:c>
      <x:c r="G119" s="6" t="n">
        <x:v>0.55</x:v>
      </x:c>
      <x:c r="H119" s="6" t="n">
        <x:v>0.030624999999999996</x:v>
      </x:c>
      <x:c r="I119" s="6" t="n">
        <x:f>'회귀분석'!$B$7+'회귀분석'!$B$6*F119</x:f>
        <x:v>-3.192244755244751</x:v>
      </x:c>
      <x:c r="J119" s="6" t="n">
        <x:f>'회귀분석'!$E$7+'회귀분석'!$E$6*F119+'회귀분석'!$E$5*H119</x:f>
        <x:v>-1.0146673326656988</x:v>
      </x:c>
    </x:row>
    <x:row r="120">
      <x:c r="A120" s="6" t="n">
        <x:v>-2.2</x:v>
      </x:c>
      <x:c r="B120" s="6" t="n">
        <x:v>0.546</x:v>
      </x:c>
      <x:c r="C120" s="6" t="n">
        <x:v>4.78</x:v>
      </x:c>
      <x:c r="D120" s="6" t="n">
        <x:v>4.13</x:v>
      </x:c>
      <x:c r="E120" s="6" t="n">
        <x:v>3.07</x:v>
      </x:c>
      <x:c r="F120" s="6" t="n">
        <x:v>0.2</x:v>
      </x:c>
      <x:c r="G120" s="6" t="n">
        <x:v>0.86</x:v>
      </x:c>
      <x:c r="H120" s="6" t="n">
        <x:v>0.04000000000000001</x:v>
      </x:c>
      <x:c r="I120" s="6" t="n">
        <x:f>'회귀분석'!$B$7+'회귀분석'!$B$6*F120</x:f>
        <x:v>-0.15055544455544023</x:v>
      </x:c>
      <x:c r="J120" s="6" t="n">
        <x:f>'회귀분석'!$E$7+'회귀분석'!$E$6*F120+'회귀분석'!$E$5*H120</x:f>
        <x:v>-2.3281328671334762</x:v>
      </x:c>
    </x:row>
    <x:row r="121">
      <x:c r="A121" s="6" t="n">
        <x:v>-2.2</x:v>
      </x:c>
      <x:c r="B121" s="6" t="n">
        <x:v>0.546</x:v>
      </x:c>
      <x:c r="C121" s="6" t="n">
        <x:v>4.78</x:v>
      </x:c>
      <x:c r="D121" s="6" t="n">
        <x:v>4.13</x:v>
      </x:c>
      <x:c r="E121" s="6" t="n">
        <x:v>3.07</x:v>
      </x:c>
      <x:c r="F121" s="6" t="n">
        <x:v>0.225</x:v>
      </x:c>
      <x:c r="G121" s="6" t="n">
        <x:v>1.24</x:v>
      </x:c>
      <x:c r="H121" s="6" t="n">
        <x:v>0.050625</x:v>
      </x:c>
      <x:c r="I121" s="6" t="n">
        <x:f>'회귀분석'!$B$7+'회귀분석'!$B$6*F121</x:f>
        <x:v>2.891133866133867</x:v>
      </x:c>
      <x:c r="J121" s="6" t="n">
        <x:f>'회귀분석'!$E$7+'회귀분석'!$E$6*F121+'회귀분석'!$E$5*H121</x:f>
        <x:v>-2.55280969031201</x:v>
      </x:c>
    </x:row>
    <x:row r="122">
      <x:c r="A122" s="6" t="n">
        <x:v>-2.2</x:v>
      </x:c>
      <x:c r="B122" s="6" t="n">
        <x:v>0.546</x:v>
      </x:c>
      <x:c r="C122" s="6" t="n">
        <x:v>4.78</x:v>
      </x:c>
      <x:c r="D122" s="6" t="n">
        <x:v>4.13</x:v>
      </x:c>
      <x:c r="E122" s="6" t="n">
        <x:v>3.07</x:v>
      </x:c>
      <x:c r="F122" s="6" t="n">
        <x:v>0.25</x:v>
      </x:c>
      <x:c r="G122" s="6" t="n">
        <x:v>1.76</x:v>
      </x:c>
      <x:c r="H122" s="6" t="n">
        <x:v>0.0625</x:v>
      </x:c>
      <x:c r="I122" s="6" t="n">
        <x:f>'회귀분석'!$B$7+'회귀분석'!$B$6*F122</x:f>
        <x:v>5.932823176823174</x:v>
      </x:c>
      <x:c r="J122" s="6" t="n">
        <x:f>'회귀분석'!$E$7+'회귀분석'!$E$6*F122+'회귀분석'!$E$5*H122</x:f>
        <x:v>-1.6886978022012968</x:v>
      </x:c>
    </x:row>
    <x:row r="123">
      <x:c r="A123" s="6" t="n">
        <x:v>-2.2</x:v>
      </x:c>
      <x:c r="B123" s="6" t="n">
        <x:v>0.546</x:v>
      </x:c>
      <x:c r="C123" s="6" t="n">
        <x:v>4.78</x:v>
      </x:c>
      <x:c r="D123" s="6" t="n">
        <x:v>4.13</x:v>
      </x:c>
      <x:c r="E123" s="6" t="n">
        <x:v>3.07</x:v>
      </x:c>
      <x:c r="F123" s="6" t="n">
        <x:v>0.275</x:v>
      </x:c>
      <x:c r="G123" s="6" t="n">
        <x:v>2.49</x:v>
      </x:c>
      <x:c r="H123" s="6" t="n">
        <x:v>0.07562500000000001</x:v>
      </x:c>
      <x:c r="I123" s="6" t="n">
        <x:f>'회귀분석'!$B$7+'회귀분석'!$B$6*F123</x:f>
        <x:v>8.974512487512484</x:v>
      </x:c>
      <x:c r="J123" s="6" t="n">
        <x:f>'회귀분석'!$E$7+'회귀분석'!$E$6*F123+'회귀분석'!$E$5*H123</x:f>
        <x:v>0.2642027971986636</x:v>
      </x:c>
    </x:row>
    <x:row r="124">
      <x:c r="A124" s="6" t="n">
        <x:v>-2.2</x:v>
      </x:c>
      <x:c r="B124" s="6" t="n">
        <x:v>0.546</x:v>
      </x:c>
      <x:c r="C124" s="6" t="n">
        <x:v>4.78</x:v>
      </x:c>
      <x:c r="D124" s="6" t="n">
        <x:v>4.13</x:v>
      </x:c>
      <x:c r="E124" s="6" t="n">
        <x:v>3.07</x:v>
      </x:c>
      <x:c r="F124" s="6" t="n">
        <x:v>0.3</x:v>
      </x:c>
      <x:c r="G124" s="6" t="n">
        <x:v>3.45</x:v>
      </x:c>
      <x:c r="H124" s="6" t="n">
        <x:v>0.09</x:v>
      </x:c>
      <x:c r="I124" s="6" t="n">
        <x:f>'회귀분석'!$B$7+'회귀분석'!$B$6*F124</x:f>
        <x:v>12.016201798201784</x:v>
      </x:c>
      <x:c r="J124" s="6" t="n">
        <x:f>'회귀분석'!$E$7+'회귀분석'!$E$6*F124+'회귀분석'!$E$5*H124</x:f>
        <x:v>3.305892107887857</x:v>
      </x:c>
    </x:row>
    <x:row r="125">
      <x:c r="A125" s="6" t="n">
        <x:v>-2.2</x:v>
      </x:c>
      <x:c r="B125" s="6" t="n">
        <x:v>0.546</x:v>
      </x:c>
      <x:c r="C125" s="6" t="n">
        <x:v>4.78</x:v>
      </x:c>
      <x:c r="D125" s="6" t="n">
        <x:v>4.13</x:v>
      </x:c>
      <x:c r="E125" s="6" t="n">
        <x:v>3.07</x:v>
      </x:c>
      <x:c r="F125" s="6" t="n">
        <x:v>0.325</x:v>
      </x:c>
      <x:c r="G125" s="6" t="n">
        <x:v>4.83</x:v>
      </x:c>
      <x:c r="H125" s="6" t="n">
        <x:v>0.10562500000000001</x:v>
      </x:c>
      <x:c r="I125" s="6" t="n">
        <x:f>'회귀분석'!$B$7+'회귀분석'!$B$6*F125</x:f>
        <x:v>15.057891108891098</x:v>
      </x:c>
      <x:c r="J125" s="6" t="n">
        <x:f>'회귀분석'!$E$7+'회귀분석'!$E$6*F125+'회귀분석'!$E$5*H125</x:f>
        <x:v>7.4363701298663045</x:v>
      </x:c>
    </x:row>
    <x:row r="126">
      <x:c r="A126" s="6" t="n">
        <x:v>-2.2</x:v>
      </x:c>
      <x:c r="B126" s="6" t="n">
        <x:v>0.546</x:v>
      </x:c>
      <x:c r="C126" s="6" t="n">
        <x:v>4.78</x:v>
      </x:c>
      <x:c r="D126" s="6" t="n">
        <x:v>4.13</x:v>
      </x:c>
      <x:c r="E126" s="6" t="n">
        <x:v>3.07</x:v>
      </x:c>
      <x:c r="F126" s="6" t="n">
        <x:v>0.35</x:v>
      </x:c>
      <x:c r="G126" s="6" t="n">
        <x:v>7.37</x:v>
      </x:c>
      <x:c r="H126" s="6" t="n">
        <x:v>0.12249999999999998</x:v>
      </x:c>
      <x:c r="I126" s="6" t="n">
        <x:f>'회귀분석'!$B$7+'회귀분석'!$B$6*F126</x:f>
        <x:v>18.0995804195804</x:v>
      </x:c>
      <x:c r="J126" s="6" t="n">
        <x:f>'회귀분석'!$E$7+'회귀분석'!$E$6*F126+'회귀분석'!$E$5*H126</x:f>
        <x:v>12.655636863133978</x:v>
      </x:c>
    </x:row>
    <x:row r="127">
      <x:c r="A127" s="6" t="n">
        <x:v>-2.2</x:v>
      </x:c>
      <x:c r="B127" s="6" t="n">
        <x:v>0.546</x:v>
      </x:c>
      <x:c r="C127" s="6" t="n">
        <x:v>4.78</x:v>
      </x:c>
      <x:c r="D127" s="6" t="n">
        <x:v>4.13</x:v>
      </x:c>
      <x:c r="E127" s="6" t="n">
        <x:v>3.07</x:v>
      </x:c>
      <x:c r="F127" s="6" t="n">
        <x:v>0.375</x:v>
      </x:c>
      <x:c r="G127" s="6" t="n">
        <x:v>12.76</x:v>
      </x:c>
      <x:c r="H127" s="6" t="n">
        <x:v>0.140625</x:v>
      </x:c>
      <x:c r="I127" s="6" t="n">
        <x:f>'회귀분석'!$B$7+'회귀분석'!$B$6*F127</x:f>
        <x:v>21.141269730269713</x:v>
      </x:c>
      <x:c r="J127" s="6" t="n">
        <x:f>'회귀분석'!$E$7+'회귀분석'!$E$6*F127+'회귀분석'!$E$5*H127</x:f>
        <x:v>18.96369230769092</x:v>
      </x:c>
    </x:row>
    <x:row r="128">
      <x:c r="A128" s="6" t="n">
        <x:v>-2.2</x:v>
      </x:c>
      <x:c r="B128" s="6" t="n">
        <x:v>0.546</x:v>
      </x:c>
      <x:c r="C128" s="6" t="n">
        <x:v>4.78</x:v>
      </x:c>
      <x:c r="D128" s="6" t="n">
        <x:v>4.13</x:v>
      </x:c>
      <x:c r="E128" s="6" t="n">
        <x:v>3.07</x:v>
      </x:c>
      <x:c r="F128" s="6" t="n">
        <x:v>0.4</x:v>
      </x:c>
      <x:c r="G128" s="6" t="n">
        <x:v>21.99</x:v>
      </x:c>
      <x:c r="H128" s="6" t="n">
        <x:v>0.16000000000000003</x:v>
      </x:c>
      <x:c r="I128" s="6" t="n">
        <x:f>'회귀분석'!$B$7+'회귀분석'!$B$6*F128</x:f>
        <x:v>24.18295904095902</x:v>
      </x:c>
      <x:c r="J128" s="6" t="n">
        <x:f>'회귀분석'!$E$7+'회귀분석'!$E$6*F128+'회귀분석'!$E$5*H128</x:f>
        <x:v>26.360536463537102</x:v>
      </x:c>
    </x:row>
    <x:row r="129">
      <x:c r="A129" s="6" t="n">
        <x:v>-2.2</x:v>
      </x:c>
      <x:c r="B129" s="6" t="n">
        <x:v>0.546</x:v>
      </x:c>
      <x:c r="C129" s="6" t="n">
        <x:v>4.78</x:v>
      </x:c>
      <x:c r="D129" s="6" t="n">
        <x:v>4.13</x:v>
      </x:c>
      <x:c r="E129" s="6" t="n">
        <x:v>3.07</x:v>
      </x:c>
      <x:c r="F129" s="6" t="n">
        <x:v>0.425</x:v>
      </x:c>
      <x:c r="G129" s="6" t="n">
        <x:v>35.64</x:v>
      </x:c>
      <x:c r="H129" s="6" t="n">
        <x:v>0.18062499999999998</x:v>
      </x:c>
      <x:c r="I129" s="6" t="n">
        <x:f>'회귀분석'!$B$7+'회귀분석'!$B$6*F129</x:f>
        <x:v>27.224648351648327</x:v>
      </x:c>
      <x:c r="J129" s="6" t="n">
        <x:f>'회귀분석'!$E$7+'회귀분석'!$E$6*F129+'회귀분석'!$E$5*H129</x:f>
        <x:v>34.846169330672495</x:v>
      </x:c>
    </x:row>
    <x:row r="130">
      <x:c r="A130" s="6" t="n">
        <x:v>-2.2</x:v>
      </x:c>
      <x:c r="B130" s="6" t="n">
        <x:v>0.546</x:v>
      </x:c>
      <x:c r="C130" s="6" t="n">
        <x:v>4.78</x:v>
      </x:c>
      <x:c r="D130" s="6" t="n">
        <x:v>4.13</x:v>
      </x:c>
      <x:c r="E130" s="6" t="n">
        <x:v>3.07</x:v>
      </x:c>
      <x:c r="F130" s="6" t="n">
        <x:v>0.45</x:v>
      </x:c>
      <x:c r="G130" s="6" t="n">
        <x:v>53.07</x:v>
      </x:c>
      <x:c r="H130" s="6" t="n">
        <x:v>0.2025</x:v>
      </x:c>
      <x:c r="I130" s="6" t="n">
        <x:f>'회귀분석'!$B$7+'회귀분석'!$B$6*F130</x:f>
        <x:v>30.266337662337634</x:v>
      </x:c>
      <x:c r="J130" s="6" t="n">
        <x:f>'회귀분석'!$E$7+'회귀분석'!$E$6*F130+'회귀분석'!$E$5*H130</x:f>
        <x:v>44.42059090909717</x:v>
      </x:c>
    </x:row>
    <x:row r="131">
      <x:c r="A131" s="6" t="n">
        <x:v>0</x:v>
      </x:c>
      <x:c r="B131" s="6" t="n">
        <x:v>0.565</x:v>
      </x:c>
      <x:c r="C131" s="6" t="n">
        <x:v>4.77</x:v>
      </x:c>
      <x:c r="D131" s="6" t="n">
        <x:v>3.99</x:v>
      </x:c>
      <x:c r="E131" s="6" t="n">
        <x:v>3.15</x:v>
      </x:c>
      <x:c r="F131" s="6" t="n">
        <x:v>0.125</x:v>
      </x:c>
      <x:c r="G131" s="6" t="n">
        <x:v>0.11</x:v>
      </x:c>
      <x:c r="H131" s="6" t="n">
        <x:v>0.015625</x:v>
      </x:c>
      <x:c r="I131" s="6" t="n">
        <x:f>'회귀분석'!$B$7+'회귀분석'!$B$6*F131</x:f>
        <x:v>-9.275623376623363</x:v>
      </x:c>
      <x:c r="J131" s="6" t="n">
        <x:f>'회귀분석'!$E$7+'회귀분석'!$E$6*F131+'회귀분석'!$E$5*H131</x:f>
        <x:v>4.878629870137585</x:v>
      </x:c>
    </x:row>
    <x:row r="132">
      <x:c r="A132" s="6" t="n">
        <x:v>0</x:v>
      </x:c>
      <x:c r="B132" s="6" t="n">
        <x:v>0.565</x:v>
      </x:c>
      <x:c r="C132" s="6" t="n">
        <x:v>4.77</x:v>
      </x:c>
      <x:c r="D132" s="6" t="n">
        <x:v>3.99</x:v>
      </x:c>
      <x:c r="E132" s="6" t="n">
        <x:v>3.15</x:v>
      </x:c>
      <x:c r="F132" s="6" t="n">
        <x:v>0.15</x:v>
      </x:c>
      <x:c r="G132" s="6" t="n">
        <x:v>0.24</x:v>
      </x:c>
      <x:c r="H132" s="6" t="n">
        <x:v>0.0225</x:v>
      </x:c>
      <x:c r="I132" s="6" t="n">
        <x:f>'회귀분석'!$B$7+'회귀분석'!$B$6*F132</x:f>
        <x:v>-6.233934065934058</x:v>
      </x:c>
      <x:c r="J132" s="6" t="n">
        <x:f>'회귀분석'!$E$7+'회귀분석'!$E$6*F132+'회귀분석'!$E$5*H132</x:f>
        <x:v>1.3875869130913223</x:v>
      </x:c>
    </x:row>
    <x:row r="133">
      <x:c r="A133" s="6" t="n">
        <x:v>0</x:v>
      </x:c>
      <x:c r="B133" s="6" t="n">
        <x:v>0.565</x:v>
      </x:c>
      <x:c r="C133" s="6" t="n">
        <x:v>4.77</x:v>
      </x:c>
      <x:c r="D133" s="6" t="n">
        <x:v>3.99</x:v>
      </x:c>
      <x:c r="E133" s="6" t="n">
        <x:v>3.15</x:v>
      </x:c>
      <x:c r="F133" s="6" t="n">
        <x:v>0.175</x:v>
      </x:c>
      <x:c r="G133" s="6" t="n">
        <x:v>0.49</x:v>
      </x:c>
      <x:c r="H133" s="6" t="n">
        <x:v>0.030624999999999996</x:v>
      </x:c>
      <x:c r="I133" s="6" t="n">
        <x:f>'회귀분석'!$B$7+'회귀분석'!$B$6*F133</x:f>
        <x:v>-3.192244755244751</x:v>
      </x:c>
      <x:c r="J133" s="6" t="n">
        <x:f>'회귀분석'!$E$7+'회귀분석'!$E$6*F133+'회귀분석'!$E$5*H133</x:f>
        <x:v>-1.0146673326656988</x:v>
      </x:c>
    </x:row>
    <x:row r="134">
      <x:c r="A134" s="6" t="n">
        <x:v>0</x:v>
      </x:c>
      <x:c r="B134" s="6" t="n">
        <x:v>0.565</x:v>
      </x:c>
      <x:c r="C134" s="6" t="n">
        <x:v>4.77</x:v>
      </x:c>
      <x:c r="D134" s="6" t="n">
        <x:v>3.99</x:v>
      </x:c>
      <x:c r="E134" s="6" t="n">
        <x:v>3.15</x:v>
      </x:c>
      <x:c r="F134" s="6" t="n">
        <x:v>0.2</x:v>
      </x:c>
      <x:c r="G134" s="6" t="n">
        <x:v>0.79</x:v>
      </x:c>
      <x:c r="H134" s="6" t="n">
        <x:v>0.04000000000000001</x:v>
      </x:c>
      <x:c r="I134" s="6" t="n">
        <x:f>'회귀분석'!$B$7+'회귀분석'!$B$6*F134</x:f>
        <x:v>-0.15055544455544023</x:v>
      </x:c>
      <x:c r="J134" s="6" t="n">
        <x:f>'회귀분석'!$E$7+'회귀분석'!$E$6*F134+'회귀분석'!$E$5*H134</x:f>
        <x:v>-2.3281328671334762</x:v>
      </x:c>
    </x:row>
    <x:row r="135">
      <x:c r="A135" s="6" t="n">
        <x:v>0</x:v>
      </x:c>
      <x:c r="B135" s="6" t="n">
        <x:v>0.565</x:v>
      </x:c>
      <x:c r="C135" s="6" t="n">
        <x:v>4.77</x:v>
      </x:c>
      <x:c r="D135" s="6" t="n">
        <x:v>3.99</x:v>
      </x:c>
      <x:c r="E135" s="6" t="n">
        <x:v>3.15</x:v>
      </x:c>
      <x:c r="F135" s="6" t="n">
        <x:v>0.225</x:v>
      </x:c>
      <x:c r="G135" s="6" t="n">
        <x:v>1.28</x:v>
      </x:c>
      <x:c r="H135" s="6" t="n">
        <x:v>0.050625</x:v>
      </x:c>
      <x:c r="I135" s="6" t="n">
        <x:f>'회귀분석'!$B$7+'회귀분석'!$B$6*F135</x:f>
        <x:v>2.891133866133867</x:v>
      </x:c>
      <x:c r="J135" s="6" t="n">
        <x:f>'회귀분석'!$E$7+'회귀분석'!$E$6*F135+'회귀분석'!$E$5*H135</x:f>
        <x:v>-2.55280969031201</x:v>
      </x:c>
    </x:row>
    <x:row r="136">
      <x:c r="A136" s="6" t="n">
        <x:v>0</x:v>
      </x:c>
      <x:c r="B136" s="6" t="n">
        <x:v>0.565</x:v>
      </x:c>
      <x:c r="C136" s="6" t="n">
        <x:v>4.77</x:v>
      </x:c>
      <x:c r="D136" s="6" t="n">
        <x:v>3.99</x:v>
      </x:c>
      <x:c r="E136" s="6" t="n">
        <x:v>3.15</x:v>
      </x:c>
      <x:c r="F136" s="6" t="n">
        <x:v>0.25</x:v>
      </x:c>
      <x:c r="G136" s="6" t="n">
        <x:v>1.96</x:v>
      </x:c>
      <x:c r="H136" s="6" t="n">
        <x:v>0.0625</x:v>
      </x:c>
      <x:c r="I136" s="6" t="n">
        <x:f>'회귀분석'!$B$7+'회귀분석'!$B$6*F136</x:f>
        <x:v>5.932823176823174</x:v>
      </x:c>
      <x:c r="J136" s="6" t="n">
        <x:f>'회귀분석'!$E$7+'회귀분석'!$E$6*F136+'회귀분석'!$E$5*H136</x:f>
        <x:v>-1.6886978022012968</x:v>
      </x:c>
    </x:row>
    <x:row r="137">
      <x:c r="A137" s="6" t="n">
        <x:v>0</x:v>
      </x:c>
      <x:c r="B137" s="6" t="n">
        <x:v>0.565</x:v>
      </x:c>
      <x:c r="C137" s="6" t="n">
        <x:v>4.77</x:v>
      </x:c>
      <x:c r="D137" s="6" t="n">
        <x:v>3.99</x:v>
      </x:c>
      <x:c r="E137" s="6" t="n">
        <x:v>3.15</x:v>
      </x:c>
      <x:c r="F137" s="6" t="n">
        <x:v>0.275</x:v>
      </x:c>
      <x:c r="G137" s="6" t="n">
        <x:v>2.88</x:v>
      </x:c>
      <x:c r="H137" s="6" t="n">
        <x:v>0.07562500000000001</x:v>
      </x:c>
      <x:c r="I137" s="6" t="n">
        <x:f>'회귀분석'!$B$7+'회귀분석'!$B$6*F137</x:f>
        <x:v>8.974512487512484</x:v>
      </x:c>
      <x:c r="J137" s="6" t="n">
        <x:f>'회귀분석'!$E$7+'회귀분석'!$E$6*F137+'회귀분석'!$E$5*H137</x:f>
        <x:v>0.2642027971986636</x:v>
      </x:c>
    </x:row>
    <x:row r="138">
      <x:c r="A138" s="6" t="n">
        <x:v>0</x:v>
      </x:c>
      <x:c r="B138" s="6" t="n">
        <x:v>0.565</x:v>
      </x:c>
      <x:c r="C138" s="6" t="n">
        <x:v>4.77</x:v>
      </x:c>
      <x:c r="D138" s="6" t="n">
        <x:v>3.99</x:v>
      </x:c>
      <x:c r="E138" s="6" t="n">
        <x:v>3.15</x:v>
      </x:c>
      <x:c r="F138" s="6" t="n">
        <x:v>0.3</x:v>
      </x:c>
      <x:c r="G138" s="6" t="n">
        <x:v>4.14</x:v>
      </x:c>
      <x:c r="H138" s="6" t="n">
        <x:v>0.09</x:v>
      </x:c>
      <x:c r="I138" s="6" t="n">
        <x:f>'회귀분석'!$B$7+'회귀분석'!$B$6*F138</x:f>
        <x:v>12.016201798201784</x:v>
      </x:c>
      <x:c r="J138" s="6" t="n">
        <x:f>'회귀분석'!$E$7+'회귀분석'!$E$6*F138+'회귀분석'!$E$5*H138</x:f>
        <x:v>3.305892107887857</x:v>
      </x:c>
    </x:row>
    <x:row r="139">
      <x:c r="A139" s="6" t="n">
        <x:v>0</x:v>
      </x:c>
      <x:c r="B139" s="6" t="n">
        <x:v>0.565</x:v>
      </x:c>
      <x:c r="C139" s="6" t="n">
        <x:v>4.77</x:v>
      </x:c>
      <x:c r="D139" s="6" t="n">
        <x:v>3.99</x:v>
      </x:c>
      <x:c r="E139" s="6" t="n">
        <x:v>3.15</x:v>
      </x:c>
      <x:c r="F139" s="6" t="n">
        <x:v>0.325</x:v>
      </x:c>
      <x:c r="G139" s="6" t="n">
        <x:v>5.96</x:v>
      </x:c>
      <x:c r="H139" s="6" t="n">
        <x:v>0.10562500000000001</x:v>
      </x:c>
      <x:c r="I139" s="6" t="n">
        <x:f>'회귀분석'!$B$7+'회귀분석'!$B$6*F139</x:f>
        <x:v>15.057891108891098</x:v>
      </x:c>
      <x:c r="J139" s="6" t="n">
        <x:f>'회귀분석'!$E$7+'회귀분석'!$E$6*F139+'회귀분석'!$E$5*H139</x:f>
        <x:v>7.4363701298663045</x:v>
      </x:c>
    </x:row>
    <x:row r="140">
      <x:c r="A140" s="6" t="n">
        <x:v>0</x:v>
      </x:c>
      <x:c r="B140" s="6" t="n">
        <x:v>0.565</x:v>
      </x:c>
      <x:c r="C140" s="6" t="n">
        <x:v>4.77</x:v>
      </x:c>
      <x:c r="D140" s="6" t="n">
        <x:v>3.99</x:v>
      </x:c>
      <x:c r="E140" s="6" t="n">
        <x:v>3.15</x:v>
      </x:c>
      <x:c r="F140" s="6" t="n">
        <x:v>0.35</x:v>
      </x:c>
      <x:c r="G140" s="6" t="n">
        <x:v>9.07</x:v>
      </x:c>
      <x:c r="H140" s="6" t="n">
        <x:v>0.12249999999999998</x:v>
      </x:c>
      <x:c r="I140" s="6" t="n">
        <x:f>'회귀분석'!$B$7+'회귀분석'!$B$6*F140</x:f>
        <x:v>18.0995804195804</x:v>
      </x:c>
      <x:c r="J140" s="6" t="n">
        <x:f>'회귀분석'!$E$7+'회귀분석'!$E$6*F140+'회귀분석'!$E$5*H140</x:f>
        <x:v>12.655636863133978</x:v>
      </x:c>
    </x:row>
    <x:row r="141">
      <x:c r="A141" s="6" t="n">
        <x:v>0</x:v>
      </x:c>
      <x:c r="B141" s="6" t="n">
        <x:v>0.565</x:v>
      </x:c>
      <x:c r="C141" s="6" t="n">
        <x:v>4.77</x:v>
      </x:c>
      <x:c r="D141" s="6" t="n">
        <x:v>3.99</x:v>
      </x:c>
      <x:c r="E141" s="6" t="n">
        <x:v>3.15</x:v>
      </x:c>
      <x:c r="F141" s="6" t="n">
        <x:v>0.375</x:v>
      </x:c>
      <x:c r="G141" s="6" t="n">
        <x:v>14.93</x:v>
      </x:c>
      <x:c r="H141" s="6" t="n">
        <x:v>0.140625</x:v>
      </x:c>
      <x:c r="I141" s="6" t="n">
        <x:f>'회귀분석'!$B$7+'회귀분석'!$B$6*F141</x:f>
        <x:v>21.141269730269713</x:v>
      </x:c>
      <x:c r="J141" s="6" t="n">
        <x:f>'회귀분석'!$E$7+'회귀분석'!$E$6*F141+'회귀분석'!$E$5*H141</x:f>
        <x:v>18.96369230769092</x:v>
      </x:c>
    </x:row>
    <x:row r="142">
      <x:c r="A142" s="6" t="n">
        <x:v>0</x:v>
      </x:c>
      <x:c r="B142" s="6" t="n">
        <x:v>0.565</x:v>
      </x:c>
      <x:c r="C142" s="6" t="n">
        <x:v>4.77</x:v>
      </x:c>
      <x:c r="D142" s="6" t="n">
        <x:v>3.99</x:v>
      </x:c>
      <x:c r="E142" s="6" t="n">
        <x:v>3.15</x:v>
      </x:c>
      <x:c r="F142" s="6" t="n">
        <x:v>0.4</x:v>
      </x:c>
      <x:c r="G142" s="6" t="n">
        <x:v>24.13</x:v>
      </x:c>
      <x:c r="H142" s="6" t="n">
        <x:v>0.16000000000000003</x:v>
      </x:c>
      <x:c r="I142" s="6" t="n">
        <x:f>'회귀분석'!$B$7+'회귀분석'!$B$6*F142</x:f>
        <x:v>24.18295904095902</x:v>
      </x:c>
      <x:c r="J142" s="6" t="n">
        <x:f>'회귀분석'!$E$7+'회귀분석'!$E$6*F142+'회귀분석'!$E$5*H142</x:f>
        <x:v>26.360536463537102</x:v>
      </x:c>
    </x:row>
    <x:row r="143">
      <x:c r="A143" s="6" t="n">
        <x:v>0</x:v>
      </x:c>
      <x:c r="B143" s="6" t="n">
        <x:v>0.565</x:v>
      </x:c>
      <x:c r="C143" s="6" t="n">
        <x:v>4.77</x:v>
      </x:c>
      <x:c r="D143" s="6" t="n">
        <x:v>3.99</x:v>
      </x:c>
      <x:c r="E143" s="6" t="n">
        <x:v>3.15</x:v>
      </x:c>
      <x:c r="F143" s="6" t="n">
        <x:v>0.425</x:v>
      </x:c>
      <x:c r="G143" s="6" t="n">
        <x:v>38.12</x:v>
      </x:c>
      <x:c r="H143" s="6" t="n">
        <x:v>0.18062499999999998</x:v>
      </x:c>
      <x:c r="I143" s="6" t="n">
        <x:f>'회귀분석'!$B$7+'회귀분석'!$B$6*F143</x:f>
        <x:v>27.224648351648327</x:v>
      </x:c>
      <x:c r="J143" s="6" t="n">
        <x:f>'회귀분석'!$E$7+'회귀분석'!$E$6*F143+'회귀분석'!$E$5*H143</x:f>
        <x:v>34.846169330672495</x:v>
      </x:c>
    </x:row>
    <x:row r="144">
      <x:c r="A144" s="6" t="n">
        <x:v>0</x:v>
      </x:c>
      <x:c r="B144" s="6" t="n">
        <x:v>0.565</x:v>
      </x:c>
      <x:c r="C144" s="6" t="n">
        <x:v>4.77</x:v>
      </x:c>
      <x:c r="D144" s="6" t="n">
        <x:v>3.99</x:v>
      </x:c>
      <x:c r="E144" s="6" t="n">
        <x:v>3.15</x:v>
      </x:c>
      <x:c r="F144" s="6" t="n">
        <x:v>0.45</x:v>
      </x:c>
      <x:c r="G144" s="6" t="n">
        <x:v>55.44</x:v>
      </x:c>
      <x:c r="H144" s="6" t="n">
        <x:v>0.2025</x:v>
      </x:c>
      <x:c r="I144" s="6" t="n">
        <x:f>'회귀분석'!$B$7+'회귀분석'!$B$6*F144</x:f>
        <x:v>30.266337662337634</x:v>
      </x:c>
      <x:c r="J144" s="6" t="n">
        <x:f>'회귀분석'!$E$7+'회귀분석'!$E$6*F144+'회귀분석'!$E$5*H144</x:f>
        <x:v>44.42059090909717</x:v>
      </x:c>
    </x:row>
    <x:row r="145">
      <x:c r="A145" s="6" t="n">
        <x:v>-5</x:v>
      </x:c>
      <x:c r="B145" s="6" t="n">
        <x:v>0.565</x:v>
      </x:c>
      <x:c r="C145" s="6" t="n">
        <x:v>4.77</x:v>
      </x:c>
      <x:c r="D145" s="6" t="n">
        <x:v>3.99</x:v>
      </x:c>
      <x:c r="E145" s="6" t="n">
        <x:v>3.15</x:v>
      </x:c>
      <x:c r="F145" s="6" t="n">
        <x:v>0.125</x:v>
      </x:c>
      <x:c r="G145" s="6" t="n">
        <x:v>0.07</x:v>
      </x:c>
      <x:c r="H145" s="6" t="n">
        <x:v>0.015625</x:v>
      </x:c>
      <x:c r="I145" s="6" t="n">
        <x:f>'회귀분석'!$B$7+'회귀분석'!$B$6*F145</x:f>
        <x:v>-9.275623376623363</x:v>
      </x:c>
      <x:c r="J145" s="6" t="n">
        <x:f>'회귀분석'!$E$7+'회귀분석'!$E$6*F145+'회귀분석'!$E$5*H145</x:f>
        <x:v>4.878629870137585</x:v>
      </x:c>
    </x:row>
    <x:row r="146">
      <x:c r="A146" s="6" t="n">
        <x:v>-5</x:v>
      </x:c>
      <x:c r="B146" s="6" t="n">
        <x:v>0.565</x:v>
      </x:c>
      <x:c r="C146" s="6" t="n">
        <x:v>4.77</x:v>
      </x:c>
      <x:c r="D146" s="6" t="n">
        <x:v>3.99</x:v>
      </x:c>
      <x:c r="E146" s="6" t="n">
        <x:v>3.15</x:v>
      </x:c>
      <x:c r="F146" s="6" t="n">
        <x:v>0.15</x:v>
      </x:c>
      <x:c r="G146" s="6" t="n">
        <x:v>0.18</x:v>
      </x:c>
      <x:c r="H146" s="6" t="n">
        <x:v>0.0225</x:v>
      </x:c>
      <x:c r="I146" s="6" t="n">
        <x:f>'회귀분석'!$B$7+'회귀분석'!$B$6*F146</x:f>
        <x:v>-6.233934065934058</x:v>
      </x:c>
      <x:c r="J146" s="6" t="n">
        <x:f>'회귀분석'!$E$7+'회귀분석'!$E$6*F146+'회귀분석'!$E$5*H146</x:f>
        <x:v>1.3875869130913223</x:v>
      </x:c>
    </x:row>
    <x:row r="147">
      <x:c r="A147" s="6" t="n">
        <x:v>-5</x:v>
      </x:c>
      <x:c r="B147" s="6" t="n">
        <x:v>0.565</x:v>
      </x:c>
      <x:c r="C147" s="6" t="n">
        <x:v>4.77</x:v>
      </x:c>
      <x:c r="D147" s="6" t="n">
        <x:v>3.99</x:v>
      </x:c>
      <x:c r="E147" s="6" t="n">
        <x:v>3.15</x:v>
      </x:c>
      <x:c r="F147" s="6" t="n">
        <x:v>0.175</x:v>
      </x:c>
      <x:c r="G147" s="6" t="n">
        <x:v>0.4</x:v>
      </x:c>
      <x:c r="H147" s="6" t="n">
        <x:v>0.030624999999999996</x:v>
      </x:c>
      <x:c r="I147" s="6" t="n">
        <x:f>'회귀분석'!$B$7+'회귀분석'!$B$6*F147</x:f>
        <x:v>-3.192244755244751</x:v>
      </x:c>
      <x:c r="J147" s="6" t="n">
        <x:f>'회귀분석'!$E$7+'회귀분석'!$E$6*F147+'회귀분석'!$E$5*H147</x:f>
        <x:v>-1.0146673326656988</x:v>
      </x:c>
    </x:row>
    <x:row r="148">
      <x:c r="A148" s="6" t="n">
        <x:v>-5</x:v>
      </x:c>
      <x:c r="B148" s="6" t="n">
        <x:v>0.565</x:v>
      </x:c>
      <x:c r="C148" s="6" t="n">
        <x:v>4.77</x:v>
      </x:c>
      <x:c r="D148" s="6" t="n">
        <x:v>3.99</x:v>
      </x:c>
      <x:c r="E148" s="6" t="n">
        <x:v>3.15</x:v>
      </x:c>
      <x:c r="F148" s="6" t="n">
        <x:v>0.2</x:v>
      </x:c>
      <x:c r="G148" s="6" t="n">
        <x:v>0.7</x:v>
      </x:c>
      <x:c r="H148" s="6" t="n">
        <x:v>0.04000000000000001</x:v>
      </x:c>
      <x:c r="I148" s="6" t="n">
        <x:f>'회귀분석'!$B$7+'회귀분석'!$B$6*F148</x:f>
        <x:v>-0.15055544455544023</x:v>
      </x:c>
      <x:c r="J148" s="6" t="n">
        <x:f>'회귀분석'!$E$7+'회귀분석'!$E$6*F148+'회귀분석'!$E$5*H148</x:f>
        <x:v>-2.3281328671334762</x:v>
      </x:c>
    </x:row>
    <x:row r="149">
      <x:c r="A149" s="6" t="n">
        <x:v>-5</x:v>
      </x:c>
      <x:c r="B149" s="6" t="n">
        <x:v>0.565</x:v>
      </x:c>
      <x:c r="C149" s="6" t="n">
        <x:v>4.77</x:v>
      </x:c>
      <x:c r="D149" s="6" t="n">
        <x:v>3.99</x:v>
      </x:c>
      <x:c r="E149" s="6" t="n">
        <x:v>3.15</x:v>
      </x:c>
      <x:c r="F149" s="6" t="n">
        <x:v>0.225</x:v>
      </x:c>
      <x:c r="G149" s="6" t="n">
        <x:v>1.14</x:v>
      </x:c>
      <x:c r="H149" s="6" t="n">
        <x:v>0.050625</x:v>
      </x:c>
      <x:c r="I149" s="6" t="n">
        <x:f>'회귀분석'!$B$7+'회귀분석'!$B$6*F149</x:f>
        <x:v>2.891133866133867</x:v>
      </x:c>
      <x:c r="J149" s="6" t="n">
        <x:f>'회귀분석'!$E$7+'회귀분석'!$E$6*F149+'회귀분석'!$E$5*H149</x:f>
        <x:v>-2.55280969031201</x:v>
      </x:c>
    </x:row>
    <x:row r="150">
      <x:c r="A150" s="6" t="n">
        <x:v>-5</x:v>
      </x:c>
      <x:c r="B150" s="6" t="n">
        <x:v>0.565</x:v>
      </x:c>
      <x:c r="C150" s="6" t="n">
        <x:v>4.77</x:v>
      </x:c>
      <x:c r="D150" s="6" t="n">
        <x:v>3.99</x:v>
      </x:c>
      <x:c r="E150" s="6" t="n">
        <x:v>3.15</x:v>
      </x:c>
      <x:c r="F150" s="6" t="n">
        <x:v>0.25</x:v>
      </x:c>
      <x:c r="G150" s="6" t="n">
        <x:v>1.83</x:v>
      </x:c>
      <x:c r="H150" s="6" t="n">
        <x:v>0.0625</x:v>
      </x:c>
      <x:c r="I150" s="6" t="n">
        <x:f>'회귀분석'!$B$7+'회귀분석'!$B$6*F150</x:f>
        <x:v>5.932823176823174</x:v>
      </x:c>
      <x:c r="J150" s="6" t="n">
        <x:f>'회귀분석'!$E$7+'회귀분석'!$E$6*F150+'회귀분석'!$E$5*H150</x:f>
        <x:v>-1.6886978022012968</x:v>
      </x:c>
    </x:row>
    <x:row r="151">
      <x:c r="A151" s="6" t="n">
        <x:v>-5</x:v>
      </x:c>
      <x:c r="B151" s="6" t="n">
        <x:v>0.565</x:v>
      </x:c>
      <x:c r="C151" s="6" t="n">
        <x:v>4.77</x:v>
      </x:c>
      <x:c r="D151" s="6" t="n">
        <x:v>3.99</x:v>
      </x:c>
      <x:c r="E151" s="6" t="n">
        <x:v>3.15</x:v>
      </x:c>
      <x:c r="F151" s="6" t="n">
        <x:v>0.275</x:v>
      </x:c>
      <x:c r="G151" s="6" t="n">
        <x:v>2.77</x:v>
      </x:c>
      <x:c r="H151" s="6" t="n">
        <x:v>0.07562500000000001</x:v>
      </x:c>
      <x:c r="I151" s="6" t="n">
        <x:f>'회귀분석'!$B$7+'회귀분석'!$B$6*F151</x:f>
        <x:v>8.974512487512484</x:v>
      </x:c>
      <x:c r="J151" s="6" t="n">
        <x:f>'회귀분석'!$E$7+'회귀분석'!$E$6*F151+'회귀분석'!$E$5*H151</x:f>
        <x:v>0.2642027971986636</x:v>
      </x:c>
    </x:row>
    <x:row r="152">
      <x:c r="A152" s="6" t="n">
        <x:v>-5</x:v>
      </x:c>
      <x:c r="B152" s="6" t="n">
        <x:v>0.565</x:v>
      </x:c>
      <x:c r="C152" s="6" t="n">
        <x:v>4.77</x:v>
      </x:c>
      <x:c r="D152" s="6" t="n">
        <x:v>3.99</x:v>
      </x:c>
      <x:c r="E152" s="6" t="n">
        <x:v>3.15</x:v>
      </x:c>
      <x:c r="F152" s="6" t="n">
        <x:v>0.3</x:v>
      </x:c>
      <x:c r="G152" s="6" t="n">
        <x:v>4.12</x:v>
      </x:c>
      <x:c r="H152" s="6" t="n">
        <x:v>0.09</x:v>
      </x:c>
      <x:c r="I152" s="6" t="n">
        <x:f>'회귀분석'!$B$7+'회귀분석'!$B$6*F152</x:f>
        <x:v>12.016201798201784</x:v>
      </x:c>
      <x:c r="J152" s="6" t="n">
        <x:f>'회귀분석'!$E$7+'회귀분석'!$E$6*F152+'회귀분석'!$E$5*H152</x:f>
        <x:v>3.305892107887857</x:v>
      </x:c>
    </x:row>
    <x:row r="153">
      <x:c r="A153" s="6" t="n">
        <x:v>-5</x:v>
      </x:c>
      <x:c r="B153" s="6" t="n">
        <x:v>0.565</x:v>
      </x:c>
      <x:c r="C153" s="6" t="n">
        <x:v>4.77</x:v>
      </x:c>
      <x:c r="D153" s="6" t="n">
        <x:v>3.99</x:v>
      </x:c>
      <x:c r="E153" s="6" t="n">
        <x:v>3.15</x:v>
      </x:c>
      <x:c r="F153" s="6" t="n">
        <x:v>0.325</x:v>
      </x:c>
      <x:c r="G153" s="6" t="n">
        <x:v>5.41</x:v>
      </x:c>
      <x:c r="H153" s="6" t="n">
        <x:v>0.10562500000000001</x:v>
      </x:c>
      <x:c r="I153" s="6" t="n">
        <x:f>'회귀분석'!$B$7+'회귀분석'!$B$6*F153</x:f>
        <x:v>15.057891108891098</x:v>
      </x:c>
      <x:c r="J153" s="6" t="n">
        <x:f>'회귀분석'!$E$7+'회귀분석'!$E$6*F153+'회귀분석'!$E$5*H153</x:f>
        <x:v>7.4363701298663045</x:v>
      </x:c>
    </x:row>
    <x:row r="154">
      <x:c r="A154" s="6" t="n">
        <x:v>-5</x:v>
      </x:c>
      <x:c r="B154" s="6" t="n">
        <x:v>0.565</x:v>
      </x:c>
      <x:c r="C154" s="6" t="n">
        <x:v>4.77</x:v>
      </x:c>
      <x:c r="D154" s="6" t="n">
        <x:v>3.99</x:v>
      </x:c>
      <x:c r="E154" s="6" t="n">
        <x:v>3.15</x:v>
      </x:c>
      <x:c r="F154" s="6" t="n">
        <x:v>0.35</x:v>
      </x:c>
      <x:c r="G154" s="6" t="n">
        <x:v>7.87</x:v>
      </x:c>
      <x:c r="H154" s="6" t="n">
        <x:v>0.12249999999999998</x:v>
      </x:c>
      <x:c r="I154" s="6" t="n">
        <x:f>'회귀분석'!$B$7+'회귀분석'!$B$6*F154</x:f>
        <x:v>18.0995804195804</x:v>
      </x:c>
      <x:c r="J154" s="6" t="n">
        <x:f>'회귀분석'!$E$7+'회귀분석'!$E$6*F154+'회귀분석'!$E$5*H154</x:f>
        <x:v>12.655636863133978</x:v>
      </x:c>
    </x:row>
    <x:row r="155">
      <x:c r="A155" s="6" t="n">
        <x:v>-5</x:v>
      </x:c>
      <x:c r="B155" s="6" t="n">
        <x:v>0.565</x:v>
      </x:c>
      <x:c r="C155" s="6" t="n">
        <x:v>4.77</x:v>
      </x:c>
      <x:c r="D155" s="6" t="n">
        <x:v>3.99</x:v>
      </x:c>
      <x:c r="E155" s="6" t="n">
        <x:v>3.15</x:v>
      </x:c>
      <x:c r="F155" s="6" t="n">
        <x:v>0.375</x:v>
      </x:c>
      <x:c r="G155" s="6" t="n">
        <x:v>12.71</x:v>
      </x:c>
      <x:c r="H155" s="6" t="n">
        <x:v>0.140625</x:v>
      </x:c>
      <x:c r="I155" s="6" t="n">
        <x:f>'회귀분석'!$B$7+'회귀분석'!$B$6*F155</x:f>
        <x:v>21.141269730269713</x:v>
      </x:c>
      <x:c r="J155" s="6" t="n">
        <x:f>'회귀분석'!$E$7+'회귀분석'!$E$6*F155+'회귀분석'!$E$5*H155</x:f>
        <x:v>18.96369230769092</x:v>
      </x:c>
    </x:row>
    <x:row r="156">
      <x:c r="A156" s="6" t="n">
        <x:v>-5</x:v>
      </x:c>
      <x:c r="B156" s="6" t="n">
        <x:v>0.565</x:v>
      </x:c>
      <x:c r="C156" s="6" t="n">
        <x:v>4.77</x:v>
      </x:c>
      <x:c r="D156" s="6" t="n">
        <x:v>3.99</x:v>
      </x:c>
      <x:c r="E156" s="6" t="n">
        <x:v>3.15</x:v>
      </x:c>
      <x:c r="F156" s="6" t="n">
        <x:v>0.4</x:v>
      </x:c>
      <x:c r="G156" s="6" t="n">
        <x:v>21.02</x:v>
      </x:c>
      <x:c r="H156" s="6" t="n">
        <x:v>0.16000000000000003</x:v>
      </x:c>
      <x:c r="I156" s="6" t="n">
        <x:f>'회귀분석'!$B$7+'회귀분석'!$B$6*F156</x:f>
        <x:v>24.18295904095902</x:v>
      </x:c>
      <x:c r="J156" s="6" t="n">
        <x:f>'회귀분석'!$E$7+'회귀분석'!$E$6*F156+'회귀분석'!$E$5*H156</x:f>
        <x:v>26.360536463537102</x:v>
      </x:c>
    </x:row>
    <x:row r="157">
      <x:c r="A157" s="6" t="n">
        <x:v>-5</x:v>
      </x:c>
      <x:c r="B157" s="6" t="n">
        <x:v>0.565</x:v>
      </x:c>
      <x:c r="C157" s="6" t="n">
        <x:v>4.77</x:v>
      </x:c>
      <x:c r="D157" s="6" t="n">
        <x:v>3.99</x:v>
      </x:c>
      <x:c r="E157" s="6" t="n">
        <x:v>3.15</x:v>
      </x:c>
      <x:c r="F157" s="6" t="n">
        <x:v>0.425</x:v>
      </x:c>
      <x:c r="G157" s="6" t="n">
        <x:v>34.58</x:v>
      </x:c>
      <x:c r="H157" s="6" t="n">
        <x:v>0.18062499999999998</x:v>
      </x:c>
      <x:c r="I157" s="6" t="n">
        <x:f>'회귀분석'!$B$7+'회귀분석'!$B$6*F157</x:f>
        <x:v>27.224648351648327</x:v>
      </x:c>
      <x:c r="J157" s="6" t="n">
        <x:f>'회귀분석'!$E$7+'회귀분석'!$E$6*F157+'회귀분석'!$E$5*H157</x:f>
        <x:v>34.846169330672495</x:v>
      </x:c>
    </x:row>
    <x:row r="158">
      <x:c r="A158" s="6" t="n">
        <x:v>-5</x:v>
      </x:c>
      <x:c r="B158" s="6" t="n">
        <x:v>0.565</x:v>
      </x:c>
      <x:c r="C158" s="6" t="n">
        <x:v>4.77</x:v>
      </x:c>
      <x:c r="D158" s="6" t="n">
        <x:v>3.99</x:v>
      </x:c>
      <x:c r="E158" s="6" t="n">
        <x:v>3.15</x:v>
      </x:c>
      <x:c r="F158" s="6" t="n">
        <x:v>0.45</x:v>
      </x:c>
      <x:c r="G158" s="6" t="n">
        <x:v>51.77</x:v>
      </x:c>
      <x:c r="H158" s="6" t="n">
        <x:v>0.2025</x:v>
      </x:c>
      <x:c r="I158" s="6" t="n">
        <x:f>'회귀분석'!$B$7+'회귀분석'!$B$6*F158</x:f>
        <x:v>30.266337662337634</x:v>
      </x:c>
      <x:c r="J158" s="6" t="n">
        <x:f>'회귀분석'!$E$7+'회귀분석'!$E$6*F158+'회귀분석'!$E$5*H158</x:f>
        <x:v>44.42059090909717</x:v>
      </x:c>
    </x:row>
    <x:row r="159">
      <x:c r="A159" s="6" t="n">
        <x:v>0</x:v>
      </x:c>
      <x:c r="B159" s="6" t="n">
        <x:v>0.565</x:v>
      </x:c>
      <x:c r="C159" s="6" t="n">
        <x:v>5.1</x:v>
      </x:c>
      <x:c r="D159" s="6" t="n">
        <x:v>3.94</x:v>
      </x:c>
      <x:c r="E159" s="6" t="n">
        <x:v>3.51</x:v>
      </x:c>
      <x:c r="F159" s="6" t="n">
        <x:v>0.125</x:v>
      </x:c>
      <x:c r="G159" s="6" t="n">
        <x:v>0.08</x:v>
      </x:c>
      <x:c r="H159" s="6" t="n">
        <x:v>0.015625</x:v>
      </x:c>
      <x:c r="I159" s="6" t="n">
        <x:f>'회귀분석'!$B$7+'회귀분석'!$B$6*F159</x:f>
        <x:v>-9.275623376623363</x:v>
      </x:c>
      <x:c r="J159" s="6" t="n">
        <x:f>'회귀분석'!$E$7+'회귀분석'!$E$6*F159+'회귀분석'!$E$5*H159</x:f>
        <x:v>4.878629870137585</x:v>
      </x:c>
    </x:row>
    <x:row r="160">
      <x:c r="A160" s="6" t="n">
        <x:v>0</x:v>
      </x:c>
      <x:c r="B160" s="6" t="n">
        <x:v>0.565</x:v>
      </x:c>
      <x:c r="C160" s="6" t="n">
        <x:v>5.1</x:v>
      </x:c>
      <x:c r="D160" s="6" t="n">
        <x:v>3.94</x:v>
      </x:c>
      <x:c r="E160" s="6" t="n">
        <x:v>3.51</x:v>
      </x:c>
      <x:c r="F160" s="6" t="n">
        <x:v>0.15</x:v>
      </x:c>
      <x:c r="G160" s="6" t="n">
        <x:v>0.26</x:v>
      </x:c>
      <x:c r="H160" s="6" t="n">
        <x:v>0.0225</x:v>
      </x:c>
      <x:c r="I160" s="6" t="n">
        <x:f>'회귀분석'!$B$7+'회귀분석'!$B$6*F160</x:f>
        <x:v>-6.233934065934058</x:v>
      </x:c>
      <x:c r="J160" s="6" t="n">
        <x:f>'회귀분석'!$E$7+'회귀분석'!$E$6*F160+'회귀분석'!$E$5*H160</x:f>
        <x:v>1.3875869130913223</x:v>
      </x:c>
    </x:row>
    <x:row r="161">
      <x:c r="A161" s="6" t="n">
        <x:v>0</x:v>
      </x:c>
      <x:c r="B161" s="6" t="n">
        <x:v>0.565</x:v>
      </x:c>
      <x:c r="C161" s="6" t="n">
        <x:v>5.1</x:v>
      </x:c>
      <x:c r="D161" s="6" t="n">
        <x:v>3.94</x:v>
      </x:c>
      <x:c r="E161" s="6" t="n">
        <x:v>3.51</x:v>
      </x:c>
      <x:c r="F161" s="6" t="n">
        <x:v>0.175</x:v>
      </x:c>
      <x:c r="G161" s="6" t="n">
        <x:v>0.5</x:v>
      </x:c>
      <x:c r="H161" s="6" t="n">
        <x:v>0.030624999999999996</x:v>
      </x:c>
      <x:c r="I161" s="6" t="n">
        <x:f>'회귀분석'!$B$7+'회귀분석'!$B$6*F161</x:f>
        <x:v>-3.192244755244751</x:v>
      </x:c>
      <x:c r="J161" s="6" t="n">
        <x:f>'회귀분석'!$E$7+'회귀분석'!$E$6*F161+'회귀분석'!$E$5*H161</x:f>
        <x:v>-1.0146673326656988</x:v>
      </x:c>
    </x:row>
    <x:row r="162">
      <x:c r="A162" s="6" t="n">
        <x:v>0</x:v>
      </x:c>
      <x:c r="B162" s="6" t="n">
        <x:v>0.565</x:v>
      </x:c>
      <x:c r="C162" s="6" t="n">
        <x:v>5.1</x:v>
      </x:c>
      <x:c r="D162" s="6" t="n">
        <x:v>3.94</x:v>
      </x:c>
      <x:c r="E162" s="6" t="n">
        <x:v>3.51</x:v>
      </x:c>
      <x:c r="F162" s="6" t="n">
        <x:v>0.2</x:v>
      </x:c>
      <x:c r="G162" s="6" t="n">
        <x:v>0.83</x:v>
      </x:c>
      <x:c r="H162" s="6" t="n">
        <x:v>0.04000000000000001</x:v>
      </x:c>
      <x:c r="I162" s="6" t="n">
        <x:f>'회귀분석'!$B$7+'회귀분석'!$B$6*F162</x:f>
        <x:v>-0.15055544455544023</x:v>
      </x:c>
      <x:c r="J162" s="6" t="n">
        <x:f>'회귀분석'!$E$7+'회귀분석'!$E$6*F162+'회귀분석'!$E$5*H162</x:f>
        <x:v>-2.3281328671334762</x:v>
      </x:c>
    </x:row>
    <x:row r="163">
      <x:c r="A163" s="6" t="n">
        <x:v>0</x:v>
      </x:c>
      <x:c r="B163" s="6" t="n">
        <x:v>0.565</x:v>
      </x:c>
      <x:c r="C163" s="6" t="n">
        <x:v>5.1</x:v>
      </x:c>
      <x:c r="D163" s="6" t="n">
        <x:v>3.94</x:v>
      </x:c>
      <x:c r="E163" s="6" t="n">
        <x:v>3.51</x:v>
      </x:c>
      <x:c r="F163" s="6" t="n">
        <x:v>0.225</x:v>
      </x:c>
      <x:c r="G163" s="6" t="n">
        <x:v>1.28</x:v>
      </x:c>
      <x:c r="H163" s="6" t="n">
        <x:v>0.050625</x:v>
      </x:c>
      <x:c r="I163" s="6" t="n">
        <x:f>'회귀분석'!$B$7+'회귀분석'!$B$6*F163</x:f>
        <x:v>2.891133866133867</x:v>
      </x:c>
      <x:c r="J163" s="6" t="n">
        <x:f>'회귀분석'!$E$7+'회귀분석'!$E$6*F163+'회귀분석'!$E$5*H163</x:f>
        <x:v>-2.55280969031201</x:v>
      </x:c>
    </x:row>
    <x:row r="164">
      <x:c r="A164" s="6" t="n">
        <x:v>0</x:v>
      </x:c>
      <x:c r="B164" s="6" t="n">
        <x:v>0.565</x:v>
      </x:c>
      <x:c r="C164" s="6" t="n">
        <x:v>5.1</x:v>
      </x:c>
      <x:c r="D164" s="6" t="n">
        <x:v>3.94</x:v>
      </x:c>
      <x:c r="E164" s="6" t="n">
        <x:v>3.51</x:v>
      </x:c>
      <x:c r="F164" s="6" t="n">
        <x:v>0.25</x:v>
      </x:c>
      <x:c r="G164" s="6" t="n">
        <x:v>1.9</x:v>
      </x:c>
      <x:c r="H164" s="6" t="n">
        <x:v>0.0625</x:v>
      </x:c>
      <x:c r="I164" s="6" t="n">
        <x:f>'회귀분석'!$B$7+'회귀분석'!$B$6*F164</x:f>
        <x:v>5.932823176823174</x:v>
      </x:c>
      <x:c r="J164" s="6" t="n">
        <x:f>'회귀분석'!$E$7+'회귀분석'!$E$6*F164+'회귀분석'!$E$5*H164</x:f>
        <x:v>-1.6886978022012968</x:v>
      </x:c>
    </x:row>
    <x:row r="165">
      <x:c r="A165" s="6" t="n">
        <x:v>0</x:v>
      </x:c>
      <x:c r="B165" s="6" t="n">
        <x:v>0.565</x:v>
      </x:c>
      <x:c r="C165" s="6" t="n">
        <x:v>5.1</x:v>
      </x:c>
      <x:c r="D165" s="6" t="n">
        <x:v>3.94</x:v>
      </x:c>
      <x:c r="E165" s="6" t="n">
        <x:v>3.51</x:v>
      </x:c>
      <x:c r="F165" s="6" t="n">
        <x:v>0.275</x:v>
      </x:c>
      <x:c r="G165" s="6" t="n">
        <x:v>2.68</x:v>
      </x:c>
      <x:c r="H165" s="6" t="n">
        <x:v>0.07562500000000001</x:v>
      </x:c>
      <x:c r="I165" s="6" t="n">
        <x:f>'회귀분석'!$B$7+'회귀분석'!$B$6*F165</x:f>
        <x:v>8.974512487512484</x:v>
      </x:c>
      <x:c r="J165" s="6" t="n">
        <x:f>'회귀분석'!$E$7+'회귀분석'!$E$6*F165+'회귀분석'!$E$5*H165</x:f>
        <x:v>0.2642027971986636</x:v>
      </x:c>
    </x:row>
    <x:row r="166">
      <x:c r="A166" s="6" t="n">
        <x:v>0</x:v>
      </x:c>
      <x:c r="B166" s="6" t="n">
        <x:v>0.565</x:v>
      </x:c>
      <x:c r="C166" s="6" t="n">
        <x:v>5.1</x:v>
      </x:c>
      <x:c r="D166" s="6" t="n">
        <x:v>3.94</x:v>
      </x:c>
      <x:c r="E166" s="6" t="n">
        <x:v>3.51</x:v>
      </x:c>
      <x:c r="F166" s="6" t="n">
        <x:v>0.3</x:v>
      </x:c>
      <x:c r="G166" s="6" t="n">
        <x:v>3.76</x:v>
      </x:c>
      <x:c r="H166" s="6" t="n">
        <x:v>0.09</x:v>
      </x:c>
      <x:c r="I166" s="6" t="n">
        <x:f>'회귀분석'!$B$7+'회귀분석'!$B$6*F166</x:f>
        <x:v>12.016201798201784</x:v>
      </x:c>
      <x:c r="J166" s="6" t="n">
        <x:f>'회귀분석'!$E$7+'회귀분석'!$E$6*F166+'회귀분석'!$E$5*H166</x:f>
        <x:v>3.305892107887857</x:v>
      </x:c>
    </x:row>
    <x:row r="167">
      <x:c r="A167" s="6" t="n">
        <x:v>0</x:v>
      </x:c>
      <x:c r="B167" s="6" t="n">
        <x:v>0.565</x:v>
      </x:c>
      <x:c r="C167" s="6" t="n">
        <x:v>5.1</x:v>
      </x:c>
      <x:c r="D167" s="6" t="n">
        <x:v>3.94</x:v>
      </x:c>
      <x:c r="E167" s="6" t="n">
        <x:v>3.51</x:v>
      </x:c>
      <x:c r="F167" s="6" t="n">
        <x:v>0.325</x:v>
      </x:c>
      <x:c r="G167" s="6" t="n">
        <x:v>5.57</x:v>
      </x:c>
      <x:c r="H167" s="6" t="n">
        <x:v>0.10562500000000001</x:v>
      </x:c>
      <x:c r="I167" s="6" t="n">
        <x:f>'회귀분석'!$B$7+'회귀분석'!$B$6*F167</x:f>
        <x:v>15.057891108891098</x:v>
      </x:c>
      <x:c r="J167" s="6" t="n">
        <x:f>'회귀분석'!$E$7+'회귀분석'!$E$6*F167+'회귀분석'!$E$5*H167</x:f>
        <x:v>7.4363701298663045</x:v>
      </x:c>
    </x:row>
    <x:row r="168">
      <x:c r="A168" s="6" t="n">
        <x:v>0</x:v>
      </x:c>
      <x:c r="B168" s="6" t="n">
        <x:v>0.565</x:v>
      </x:c>
      <x:c r="C168" s="6" t="n">
        <x:v>5.1</x:v>
      </x:c>
      <x:c r="D168" s="6" t="n">
        <x:v>3.94</x:v>
      </x:c>
      <x:c r="E168" s="6" t="n">
        <x:v>3.51</x:v>
      </x:c>
      <x:c r="F168" s="6" t="n">
        <x:v>0.35</x:v>
      </x:c>
      <x:c r="G168" s="6" t="n">
        <x:v>8.76</x:v>
      </x:c>
      <x:c r="H168" s="6" t="n">
        <x:v>0.12249999999999998</x:v>
      </x:c>
      <x:c r="I168" s="6" t="n">
        <x:f>'회귀분석'!$B$7+'회귀분석'!$B$6*F168</x:f>
        <x:v>18.0995804195804</x:v>
      </x:c>
      <x:c r="J168" s="6" t="n">
        <x:f>'회귀분석'!$E$7+'회귀분석'!$E$6*F168+'회귀분석'!$E$5*H168</x:f>
        <x:v>12.655636863133978</x:v>
      </x:c>
    </x:row>
    <x:row r="169">
      <x:c r="A169" s="6" t="n">
        <x:v>0</x:v>
      </x:c>
      <x:c r="B169" s="6" t="n">
        <x:v>0.565</x:v>
      </x:c>
      <x:c r="C169" s="6" t="n">
        <x:v>5.1</x:v>
      </x:c>
      <x:c r="D169" s="6" t="n">
        <x:v>3.94</x:v>
      </x:c>
      <x:c r="E169" s="6" t="n">
        <x:v>3.51</x:v>
      </x:c>
      <x:c r="F169" s="6" t="n">
        <x:v>0.375</x:v>
      </x:c>
      <x:c r="G169" s="6" t="n">
        <x:v>14.24</x:v>
      </x:c>
      <x:c r="H169" s="6" t="n">
        <x:v>0.140625</x:v>
      </x:c>
      <x:c r="I169" s="6" t="n">
        <x:f>'회귀분석'!$B$7+'회귀분석'!$B$6*F169</x:f>
        <x:v>21.141269730269713</x:v>
      </x:c>
      <x:c r="J169" s="6" t="n">
        <x:f>'회귀분석'!$E$7+'회귀분석'!$E$6*F169+'회귀분석'!$E$5*H169</x:f>
        <x:v>18.96369230769092</x:v>
      </x:c>
    </x:row>
    <x:row r="170">
      <x:c r="A170" s="6" t="n">
        <x:v>0</x:v>
      </x:c>
      <x:c r="B170" s="6" t="n">
        <x:v>0.565</x:v>
      </x:c>
      <x:c r="C170" s="6" t="n">
        <x:v>5.1</x:v>
      </x:c>
      <x:c r="D170" s="6" t="n">
        <x:v>3.94</x:v>
      </x:c>
      <x:c r="E170" s="6" t="n">
        <x:v>3.51</x:v>
      </x:c>
      <x:c r="F170" s="6" t="n">
        <x:v>0.4</x:v>
      </x:c>
      <x:c r="G170" s="6" t="n">
        <x:v>23.05</x:v>
      </x:c>
      <x:c r="H170" s="6" t="n">
        <x:v>0.16000000000000003</x:v>
      </x:c>
      <x:c r="I170" s="6" t="n">
        <x:f>'회귀분석'!$B$7+'회귀분석'!$B$6*F170</x:f>
        <x:v>24.18295904095902</x:v>
      </x:c>
      <x:c r="J170" s="6" t="n">
        <x:f>'회귀분석'!$E$7+'회귀분석'!$E$6*F170+'회귀분석'!$E$5*H170</x:f>
        <x:v>26.360536463537102</x:v>
      </x:c>
    </x:row>
    <x:row r="171">
      <x:c r="A171" s="6" t="n">
        <x:v>0</x:v>
      </x:c>
      <x:c r="B171" s="6" t="n">
        <x:v>0.565</x:v>
      </x:c>
      <x:c r="C171" s="6" t="n">
        <x:v>5.1</x:v>
      </x:c>
      <x:c r="D171" s="6" t="n">
        <x:v>3.94</x:v>
      </x:c>
      <x:c r="E171" s="6" t="n">
        <x:v>3.51</x:v>
      </x:c>
      <x:c r="F171" s="6" t="n">
        <x:v>0.425</x:v>
      </x:c>
      <x:c r="G171" s="6" t="n">
        <x:v>35.46</x:v>
      </x:c>
      <x:c r="H171" s="6" t="n">
        <x:v>0.18062499999999998</x:v>
      </x:c>
      <x:c r="I171" s="6" t="n">
        <x:f>'회귀분석'!$B$7+'회귀분석'!$B$6*F171</x:f>
        <x:v>27.224648351648327</x:v>
      </x:c>
      <x:c r="J171" s="6" t="n">
        <x:f>'회귀분석'!$E$7+'회귀분석'!$E$6*F171+'회귀분석'!$E$5*H171</x:f>
        <x:v>34.846169330672495</x:v>
      </x:c>
    </x:row>
    <x:row r="172">
      <x:c r="A172" s="6" t="n">
        <x:v>0</x:v>
      </x:c>
      <x:c r="B172" s="6" t="n">
        <x:v>0.565</x:v>
      </x:c>
      <x:c r="C172" s="6" t="n">
        <x:v>5.1</x:v>
      </x:c>
      <x:c r="D172" s="6" t="n">
        <x:v>3.94</x:v>
      </x:c>
      <x:c r="E172" s="6" t="n">
        <x:v>3.51</x:v>
      </x:c>
      <x:c r="F172" s="6" t="n">
        <x:v>0.45</x:v>
      </x:c>
      <x:c r="G172" s="6" t="n">
        <x:v>51.99</x:v>
      </x:c>
      <x:c r="H172" s="6" t="n">
        <x:v>0.2025</x:v>
      </x:c>
      <x:c r="I172" s="6" t="n">
        <x:f>'회귀분석'!$B$7+'회귀분석'!$B$6*F172</x:f>
        <x:v>30.266337662337634</x:v>
      </x:c>
      <x:c r="J172" s="6" t="n">
        <x:f>'회귀분석'!$E$7+'회귀분석'!$E$6*F172+'회귀분석'!$E$5*H172</x:f>
        <x:v>44.42059090909717</x:v>
      </x:c>
    </x:row>
    <x:row r="173">
      <x:c r="A173" s="6" t="n">
        <x:v>-5</x:v>
      </x:c>
      <x:c r="B173" s="6" t="n">
        <x:v>0.565</x:v>
      </x:c>
      <x:c r="C173" s="6" t="n">
        <x:v>5.1</x:v>
      </x:c>
      <x:c r="D173" s="6" t="n">
        <x:v>3.94</x:v>
      </x:c>
      <x:c r="E173" s="6" t="n">
        <x:v>3.51</x:v>
      </x:c>
      <x:c r="F173" s="6" t="n">
        <x:v>0.125</x:v>
      </x:c>
      <x:c r="G173" s="6" t="n">
        <x:v>0.08</x:v>
      </x:c>
      <x:c r="H173" s="6" t="n">
        <x:v>0.015625</x:v>
      </x:c>
      <x:c r="I173" s="6" t="n">
        <x:f>'회귀분석'!$B$7+'회귀분석'!$B$6*F173</x:f>
        <x:v>-9.275623376623363</x:v>
      </x:c>
      <x:c r="J173" s="6" t="n">
        <x:f>'회귀분석'!$E$7+'회귀분석'!$E$6*F173+'회귀분석'!$E$5*H173</x:f>
        <x:v>4.878629870137585</x:v>
      </x:c>
    </x:row>
    <x:row r="174">
      <x:c r="A174" s="6" t="n">
        <x:v>-5</x:v>
      </x:c>
      <x:c r="B174" s="6" t="n">
        <x:v>0.565</x:v>
      </x:c>
      <x:c r="C174" s="6" t="n">
        <x:v>5.1</x:v>
      </x:c>
      <x:c r="D174" s="6" t="n">
        <x:v>3.94</x:v>
      </x:c>
      <x:c r="E174" s="6" t="n">
        <x:v>3.51</x:v>
      </x:c>
      <x:c r="F174" s="6" t="n">
        <x:v>0.15</x:v>
      </x:c>
      <x:c r="G174" s="6" t="n">
        <x:v>0.24</x:v>
      </x:c>
      <x:c r="H174" s="6" t="n">
        <x:v>0.0225</x:v>
      </x:c>
      <x:c r="I174" s="6" t="n">
        <x:f>'회귀분석'!$B$7+'회귀분석'!$B$6*F174</x:f>
        <x:v>-6.233934065934058</x:v>
      </x:c>
      <x:c r="J174" s="6" t="n">
        <x:f>'회귀분석'!$E$7+'회귀분석'!$E$6*F174+'회귀분석'!$E$5*H174</x:f>
        <x:v>1.3875869130913223</x:v>
      </x:c>
    </x:row>
    <x:row r="175">
      <x:c r="A175" s="6" t="n">
        <x:v>-5</x:v>
      </x:c>
      <x:c r="B175" s="6" t="n">
        <x:v>0.565</x:v>
      </x:c>
      <x:c r="C175" s="6" t="n">
        <x:v>5.1</x:v>
      </x:c>
      <x:c r="D175" s="6" t="n">
        <x:v>3.94</x:v>
      </x:c>
      <x:c r="E175" s="6" t="n">
        <x:v>3.51</x:v>
      </x:c>
      <x:c r="F175" s="6" t="n">
        <x:v>0.175</x:v>
      </x:c>
      <x:c r="G175" s="6" t="n">
        <x:v>0.45</x:v>
      </x:c>
      <x:c r="H175" s="6" t="n">
        <x:v>0.030624999999999996</x:v>
      </x:c>
      <x:c r="I175" s="6" t="n">
        <x:f>'회귀분석'!$B$7+'회귀분석'!$B$6*F175</x:f>
        <x:v>-3.192244755244751</x:v>
      </x:c>
      <x:c r="J175" s="6" t="n">
        <x:f>'회귀분석'!$E$7+'회귀분석'!$E$6*F175+'회귀분석'!$E$5*H175</x:f>
        <x:v>-1.0146673326656988</x:v>
      </x:c>
    </x:row>
    <x:row r="176">
      <x:c r="A176" s="6" t="n">
        <x:v>-5</x:v>
      </x:c>
      <x:c r="B176" s="6" t="n">
        <x:v>0.565</x:v>
      </x:c>
      <x:c r="C176" s="6" t="n">
        <x:v>5.1</x:v>
      </x:c>
      <x:c r="D176" s="6" t="n">
        <x:v>3.94</x:v>
      </x:c>
      <x:c r="E176" s="6" t="n">
        <x:v>3.51</x:v>
      </x:c>
      <x:c r="F176" s="6" t="n">
        <x:v>0.2</x:v>
      </x:c>
      <x:c r="G176" s="6" t="n">
        <x:v>0.77</x:v>
      </x:c>
      <x:c r="H176" s="6" t="n">
        <x:v>0.04000000000000001</x:v>
      </x:c>
      <x:c r="I176" s="6" t="n">
        <x:f>'회귀분석'!$B$7+'회귀분석'!$B$6*F176</x:f>
        <x:v>-0.15055544455544023</x:v>
      </x:c>
      <x:c r="J176" s="6" t="n">
        <x:f>'회귀분석'!$E$7+'회귀분석'!$E$6*F176+'회귀분석'!$E$5*H176</x:f>
        <x:v>-2.3281328671334762</x:v>
      </x:c>
    </x:row>
    <x:row r="177">
      <x:c r="A177" s="6" t="n">
        <x:v>-5</x:v>
      </x:c>
      <x:c r="B177" s="6" t="n">
        <x:v>0.565</x:v>
      </x:c>
      <x:c r="C177" s="6" t="n">
        <x:v>5.1</x:v>
      </x:c>
      <x:c r="D177" s="6" t="n">
        <x:v>3.94</x:v>
      </x:c>
      <x:c r="E177" s="6" t="n">
        <x:v>3.51</x:v>
      </x:c>
      <x:c r="F177" s="6" t="n">
        <x:v>0.225</x:v>
      </x:c>
      <x:c r="G177" s="6" t="n">
        <x:v>1.19</x:v>
      </x:c>
      <x:c r="H177" s="6" t="n">
        <x:v>0.050625</x:v>
      </x:c>
      <x:c r="I177" s="6" t="n">
        <x:f>'회귀분석'!$B$7+'회귀분석'!$B$6*F177</x:f>
        <x:v>2.891133866133867</x:v>
      </x:c>
      <x:c r="J177" s="6" t="n">
        <x:f>'회귀분석'!$E$7+'회귀분석'!$E$6*F177+'회귀분석'!$E$5*H177</x:f>
        <x:v>-2.55280969031201</x:v>
      </x:c>
    </x:row>
    <x:row r="178">
      <x:c r="A178" s="6" t="n">
        <x:v>-5</x:v>
      </x:c>
      <x:c r="B178" s="6" t="n">
        <x:v>0.565</x:v>
      </x:c>
      <x:c r="C178" s="6" t="n">
        <x:v>5.1</x:v>
      </x:c>
      <x:c r="D178" s="6" t="n">
        <x:v>3.94</x:v>
      </x:c>
      <x:c r="E178" s="6" t="n">
        <x:v>3.51</x:v>
      </x:c>
      <x:c r="F178" s="6" t="n">
        <x:v>0.25</x:v>
      </x:c>
      <x:c r="G178" s="6" t="n">
        <x:v>1.76</x:v>
      </x:c>
      <x:c r="H178" s="6" t="n">
        <x:v>0.0625</x:v>
      </x:c>
      <x:c r="I178" s="6" t="n">
        <x:f>'회귀분석'!$B$7+'회귀분석'!$B$6*F178</x:f>
        <x:v>5.932823176823174</x:v>
      </x:c>
      <x:c r="J178" s="6" t="n">
        <x:f>'회귀분석'!$E$7+'회귀분석'!$E$6*F178+'회귀분석'!$E$5*H178</x:f>
        <x:v>-1.6886978022012968</x:v>
      </x:c>
    </x:row>
    <x:row r="179">
      <x:c r="A179" s="6" t="n">
        <x:v>-5</x:v>
      </x:c>
      <x:c r="B179" s="6" t="n">
        <x:v>0.565</x:v>
      </x:c>
      <x:c r="C179" s="6" t="n">
        <x:v>5.1</x:v>
      </x:c>
      <x:c r="D179" s="6" t="n">
        <x:v>3.94</x:v>
      </x:c>
      <x:c r="E179" s="6" t="n">
        <x:v>3.51</x:v>
      </x:c>
      <x:c r="F179" s="6" t="n">
        <x:v>0.275</x:v>
      </x:c>
      <x:c r="G179" s="6" t="n">
        <x:v>2.59</x:v>
      </x:c>
      <x:c r="H179" s="6" t="n">
        <x:v>0.07562500000000001</x:v>
      </x:c>
      <x:c r="I179" s="6" t="n">
        <x:f>'회귀분석'!$B$7+'회귀분석'!$B$6*F179</x:f>
        <x:v>8.974512487512484</x:v>
      </x:c>
      <x:c r="J179" s="6" t="n">
        <x:f>'회귀분석'!$E$7+'회귀분석'!$E$6*F179+'회귀분석'!$E$5*H179</x:f>
        <x:v>0.2642027971986636</x:v>
      </x:c>
    </x:row>
    <x:row r="180">
      <x:c r="A180" s="6" t="n">
        <x:v>-5</x:v>
      </x:c>
      <x:c r="B180" s="6" t="n">
        <x:v>0.565</x:v>
      </x:c>
      <x:c r="C180" s="6" t="n">
        <x:v>5.1</x:v>
      </x:c>
      <x:c r="D180" s="6" t="n">
        <x:v>3.94</x:v>
      </x:c>
      <x:c r="E180" s="6" t="n">
        <x:v>3.51</x:v>
      </x:c>
      <x:c r="F180" s="6" t="n">
        <x:v>0.3</x:v>
      </x:c>
      <x:c r="G180" s="6" t="n">
        <x:v>3.85</x:v>
      </x:c>
      <x:c r="H180" s="6" t="n">
        <x:v>0.09</x:v>
      </x:c>
      <x:c r="I180" s="6" t="n">
        <x:f>'회귀분석'!$B$7+'회귀분석'!$B$6*F180</x:f>
        <x:v>12.016201798201784</x:v>
      </x:c>
      <x:c r="J180" s="6" t="n">
        <x:f>'회귀분석'!$E$7+'회귀분석'!$E$6*F180+'회귀분석'!$E$5*H180</x:f>
        <x:v>3.305892107887857</x:v>
      </x:c>
    </x:row>
    <x:row r="181">
      <x:c r="A181" s="6" t="n">
        <x:v>-5</x:v>
      </x:c>
      <x:c r="B181" s="6" t="n">
        <x:v>0.565</x:v>
      </x:c>
      <x:c r="C181" s="6" t="n">
        <x:v>5.1</x:v>
      </x:c>
      <x:c r="D181" s="6" t="n">
        <x:v>3.94</x:v>
      </x:c>
      <x:c r="E181" s="6" t="n">
        <x:v>3.51</x:v>
      </x:c>
      <x:c r="F181" s="6" t="n">
        <x:v>0.325</x:v>
      </x:c>
      <x:c r="G181" s="6" t="n">
        <x:v>5.27</x:v>
      </x:c>
      <x:c r="H181" s="6" t="n">
        <x:v>0.10562500000000001</x:v>
      </x:c>
      <x:c r="I181" s="6" t="n">
        <x:f>'회귀분석'!$B$7+'회귀분석'!$B$6*F181</x:f>
        <x:v>15.057891108891098</x:v>
      </x:c>
      <x:c r="J181" s="6" t="n">
        <x:f>'회귀분석'!$E$7+'회귀분석'!$E$6*F181+'회귀분석'!$E$5*H181</x:f>
        <x:v>7.4363701298663045</x:v>
      </x:c>
    </x:row>
    <x:row r="182">
      <x:c r="A182" s="6" t="n">
        <x:v>-5</x:v>
      </x:c>
      <x:c r="B182" s="6" t="n">
        <x:v>0.565</x:v>
      </x:c>
      <x:c r="C182" s="6" t="n">
        <x:v>5.1</x:v>
      </x:c>
      <x:c r="D182" s="6" t="n">
        <x:v>3.94</x:v>
      </x:c>
      <x:c r="E182" s="6" t="n">
        <x:v>3.51</x:v>
      </x:c>
      <x:c r="F182" s="6" t="n">
        <x:v>0.35</x:v>
      </x:c>
      <x:c r="G182" s="6" t="n">
        <x:v>7.74</x:v>
      </x:c>
      <x:c r="H182" s="6" t="n">
        <x:v>0.12249999999999998</x:v>
      </x:c>
      <x:c r="I182" s="6" t="n">
        <x:f>'회귀분석'!$B$7+'회귀분석'!$B$6*F182</x:f>
        <x:v>18.0995804195804</x:v>
      </x:c>
      <x:c r="J182" s="6" t="n">
        <x:f>'회귀분석'!$E$7+'회귀분석'!$E$6*F182+'회귀분석'!$E$5*H182</x:f>
        <x:v>12.655636863133978</x:v>
      </x:c>
    </x:row>
    <x:row r="183">
      <x:c r="A183" s="6" t="n">
        <x:v>-5</x:v>
      </x:c>
      <x:c r="B183" s="6" t="n">
        <x:v>0.565</x:v>
      </x:c>
      <x:c r="C183" s="6" t="n">
        <x:v>5.1</x:v>
      </x:c>
      <x:c r="D183" s="6" t="n">
        <x:v>3.94</x:v>
      </x:c>
      <x:c r="E183" s="6" t="n">
        <x:v>3.51</x:v>
      </x:c>
      <x:c r="F183" s="6" t="n">
        <x:v>0.375</x:v>
      </x:c>
      <x:c r="G183" s="6" t="n">
        <x:v>12.4</x:v>
      </x:c>
      <x:c r="H183" s="6" t="n">
        <x:v>0.140625</x:v>
      </x:c>
      <x:c r="I183" s="6" t="n">
        <x:f>'회귀분석'!$B$7+'회귀분석'!$B$6*F183</x:f>
        <x:v>21.141269730269713</x:v>
      </x:c>
      <x:c r="J183" s="6" t="n">
        <x:f>'회귀분석'!$E$7+'회귀분석'!$E$6*F183+'회귀분석'!$E$5*H183</x:f>
        <x:v>18.96369230769092</x:v>
      </x:c>
    </x:row>
    <x:row r="184">
      <x:c r="A184" s="6" t="n">
        <x:v>-5</x:v>
      </x:c>
      <x:c r="B184" s="6" t="n">
        <x:v>0.565</x:v>
      </x:c>
      <x:c r="C184" s="6" t="n">
        <x:v>5.1</x:v>
      </x:c>
      <x:c r="D184" s="6" t="n">
        <x:v>3.94</x:v>
      </x:c>
      <x:c r="E184" s="6" t="n">
        <x:v>3.51</x:v>
      </x:c>
      <x:c r="F184" s="6" t="n">
        <x:v>0.4</x:v>
      </x:c>
      <x:c r="G184" s="6" t="n">
        <x:v>20.91</x:v>
      </x:c>
      <x:c r="H184" s="6" t="n">
        <x:v>0.16000000000000003</x:v>
      </x:c>
      <x:c r="I184" s="6" t="n">
        <x:f>'회귀분석'!$B$7+'회귀분석'!$B$6*F184</x:f>
        <x:v>24.18295904095902</x:v>
      </x:c>
      <x:c r="J184" s="6" t="n">
        <x:f>'회귀분석'!$E$7+'회귀분석'!$E$6*F184+'회귀분석'!$E$5*H184</x:f>
        <x:v>26.360536463537102</x:v>
      </x:c>
    </x:row>
    <x:row r="185">
      <x:c r="A185" s="6" t="n">
        <x:v>-5</x:v>
      </x:c>
      <x:c r="B185" s="6" t="n">
        <x:v>0.565</x:v>
      </x:c>
      <x:c r="C185" s="6" t="n">
        <x:v>5.1</x:v>
      </x:c>
      <x:c r="D185" s="6" t="n">
        <x:v>3.94</x:v>
      </x:c>
      <x:c r="E185" s="6" t="n">
        <x:v>3.51</x:v>
      </x:c>
      <x:c r="F185" s="6" t="n">
        <x:v>0.425</x:v>
      </x:c>
      <x:c r="G185" s="6" t="n">
        <x:v>33.23</x:v>
      </x:c>
      <x:c r="H185" s="6" t="n">
        <x:v>0.18062499999999998</x:v>
      </x:c>
      <x:c r="I185" s="6" t="n">
        <x:f>'회귀분석'!$B$7+'회귀분석'!$B$6*F185</x:f>
        <x:v>27.224648351648327</x:v>
      </x:c>
      <x:c r="J185" s="6" t="n">
        <x:f>'회귀분석'!$E$7+'회귀분석'!$E$6*F185+'회귀분석'!$E$5*H185</x:f>
        <x:v>34.846169330672495</x:v>
      </x:c>
    </x:row>
    <x:row r="186">
      <x:c r="A186" s="6" t="n">
        <x:v>-5</x:v>
      </x:c>
      <x:c r="B186" s="6" t="n">
        <x:v>0.565</x:v>
      </x:c>
      <x:c r="C186" s="6" t="n">
        <x:v>5.1</x:v>
      </x:c>
      <x:c r="D186" s="6" t="n">
        <x:v>3.94</x:v>
      </x:c>
      <x:c r="E186" s="6" t="n">
        <x:v>3.51</x:v>
      </x:c>
      <x:c r="F186" s="6" t="n">
        <x:v>0.45</x:v>
      </x:c>
      <x:c r="G186" s="6" t="n">
        <x:v>49.14</x:v>
      </x:c>
      <x:c r="H186" s="6" t="n">
        <x:v>0.2025</x:v>
      </x:c>
      <x:c r="I186" s="6" t="n">
        <x:f>'회귀분석'!$B$7+'회귀분석'!$B$6*F186</x:f>
        <x:v>30.266337662337634</x:v>
      </x:c>
      <x:c r="J186" s="6" t="n">
        <x:f>'회귀분석'!$E$7+'회귀분석'!$E$6*F186+'회귀분석'!$E$5*H186</x:f>
        <x:v>44.42059090909717</x:v>
      </x:c>
    </x:row>
    <x:row r="187">
      <x:c r="A187" s="6" t="n">
        <x:v>-2.3</x:v>
      </x:c>
      <x:c r="B187" s="6" t="n">
        <x:v>0.53</x:v>
      </x:c>
      <x:c r="C187" s="6" t="n">
        <x:v>5.11</x:v>
      </x:c>
      <x:c r="D187" s="6" t="n">
        <x:v>3.69</x:v>
      </x:c>
      <x:c r="E187" s="6" t="n">
        <x:v>3.51</x:v>
      </x:c>
      <x:c r="F187" s="6" t="n">
        <x:v>0.125</x:v>
      </x:c>
      <x:c r="G187" s="6" t="n">
        <x:v>0.08</x:v>
      </x:c>
      <x:c r="H187" s="6" t="n">
        <x:v>0.015625</x:v>
      </x:c>
      <x:c r="I187" s="6" t="n">
        <x:f>'회귀분석'!$B$7+'회귀분석'!$B$6*F187</x:f>
        <x:v>-9.275623376623363</x:v>
      </x:c>
      <x:c r="J187" s="6" t="n">
        <x:f>'회귀분석'!$E$7+'회귀분석'!$E$6*F187+'회귀분석'!$E$5*H187</x:f>
        <x:v>4.878629870137585</x:v>
      </x:c>
    </x:row>
    <x:row r="188">
      <x:c r="A188" s="6" t="n">
        <x:v>-2.3</x:v>
      </x:c>
      <x:c r="B188" s="6" t="n">
        <x:v>0.53</x:v>
      </x:c>
      <x:c r="C188" s="6" t="n">
        <x:v>5.11</x:v>
      </x:c>
      <x:c r="D188" s="6" t="n">
        <x:v>3.69</x:v>
      </x:c>
      <x:c r="E188" s="6" t="n">
        <x:v>3.51</x:v>
      </x:c>
      <x:c r="F188" s="6" t="n">
        <x:v>0.15</x:v>
      </x:c>
      <x:c r="G188" s="6" t="n">
        <x:v>0.25</x:v>
      </x:c>
      <x:c r="H188" s="6" t="n">
        <x:v>0.0225</x:v>
      </x:c>
      <x:c r="I188" s="6" t="n">
        <x:f>'회귀분석'!$B$7+'회귀분석'!$B$6*F188</x:f>
        <x:v>-6.233934065934058</x:v>
      </x:c>
      <x:c r="J188" s="6" t="n">
        <x:f>'회귀분석'!$E$7+'회귀분석'!$E$6*F188+'회귀분석'!$E$5*H188</x:f>
        <x:v>1.3875869130913223</x:v>
      </x:c>
    </x:row>
    <x:row r="189">
      <x:c r="A189" s="6" t="n">
        <x:v>-2.3</x:v>
      </x:c>
      <x:c r="B189" s="6" t="n">
        <x:v>0.53</x:v>
      </x:c>
      <x:c r="C189" s="6" t="n">
        <x:v>5.11</x:v>
      </x:c>
      <x:c r="D189" s="6" t="n">
        <x:v>3.69</x:v>
      </x:c>
      <x:c r="E189" s="6" t="n">
        <x:v>3.51</x:v>
      </x:c>
      <x:c r="F189" s="6" t="n">
        <x:v>0.175</x:v>
      </x:c>
      <x:c r="G189" s="6" t="n">
        <x:v>0.46</x:v>
      </x:c>
      <x:c r="H189" s="6" t="n">
        <x:v>0.030624999999999996</x:v>
      </x:c>
      <x:c r="I189" s="6" t="n">
        <x:f>'회귀분석'!$B$7+'회귀분석'!$B$6*F189</x:f>
        <x:v>-3.192244755244751</x:v>
      </x:c>
      <x:c r="J189" s="6" t="n">
        <x:f>'회귀분석'!$E$7+'회귀분석'!$E$6*F189+'회귀분석'!$E$5*H189</x:f>
        <x:v>-1.0146673326656988</x:v>
      </x:c>
    </x:row>
    <x:row r="190">
      <x:c r="A190" s="6" t="n">
        <x:v>-2.3</x:v>
      </x:c>
      <x:c r="B190" s="6" t="n">
        <x:v>0.53</x:v>
      </x:c>
      <x:c r="C190" s="6" t="n">
        <x:v>5.11</x:v>
      </x:c>
      <x:c r="D190" s="6" t="n">
        <x:v>3.69</x:v>
      </x:c>
      <x:c r="E190" s="6" t="n">
        <x:v>3.51</x:v>
      </x:c>
      <x:c r="F190" s="6" t="n">
        <x:v>0.2</x:v>
      </x:c>
      <x:c r="G190" s="6" t="n">
        <x:v>0.75</x:v>
      </x:c>
      <x:c r="H190" s="6" t="n">
        <x:v>0.04000000000000001</x:v>
      </x:c>
      <x:c r="I190" s="6" t="n">
        <x:f>'회귀분석'!$B$7+'회귀분석'!$B$6*F190</x:f>
        <x:v>-0.15055544455544023</x:v>
      </x:c>
      <x:c r="J190" s="6" t="n">
        <x:f>'회귀분석'!$E$7+'회귀분석'!$E$6*F190+'회귀분석'!$E$5*H190</x:f>
        <x:v>-2.3281328671334762</x:v>
      </x:c>
    </x:row>
    <x:row r="191">
      <x:c r="A191" s="6" t="n">
        <x:v>-2.3</x:v>
      </x:c>
      <x:c r="B191" s="6" t="n">
        <x:v>0.53</x:v>
      </x:c>
      <x:c r="C191" s="6" t="n">
        <x:v>5.11</x:v>
      </x:c>
      <x:c r="D191" s="6" t="n">
        <x:v>3.69</x:v>
      </x:c>
      <x:c r="E191" s="6" t="n">
        <x:v>3.51</x:v>
      </x:c>
      <x:c r="F191" s="6" t="n">
        <x:v>0.225</x:v>
      </x:c>
      <x:c r="G191" s="6" t="n">
        <x:v>1.11</x:v>
      </x:c>
      <x:c r="H191" s="6" t="n">
        <x:v>0.050625</x:v>
      </x:c>
      <x:c r="I191" s="6" t="n">
        <x:f>'회귀분석'!$B$7+'회귀분석'!$B$6*F191</x:f>
        <x:v>2.891133866133867</x:v>
      </x:c>
      <x:c r="J191" s="6" t="n">
        <x:f>'회귀분석'!$E$7+'회귀분석'!$E$6*F191+'회귀분석'!$E$5*H191</x:f>
        <x:v>-2.55280969031201</x:v>
      </x:c>
    </x:row>
    <x:row r="192">
      <x:c r="A192" s="6" t="n">
        <x:v>-2.3</x:v>
      </x:c>
      <x:c r="B192" s="6" t="n">
        <x:v>0.53</x:v>
      </x:c>
      <x:c r="C192" s="6" t="n">
        <x:v>5.11</x:v>
      </x:c>
      <x:c r="D192" s="6" t="n">
        <x:v>3.69</x:v>
      </x:c>
      <x:c r="E192" s="6" t="n">
        <x:v>3.51</x:v>
      </x:c>
      <x:c r="F192" s="6" t="n">
        <x:v>0.25</x:v>
      </x:c>
      <x:c r="G192" s="6" t="n">
        <x:v>1.57</x:v>
      </x:c>
      <x:c r="H192" s="6" t="n">
        <x:v>0.0625</x:v>
      </x:c>
      <x:c r="I192" s="6" t="n">
        <x:f>'회귀분석'!$B$7+'회귀분석'!$B$6*F192</x:f>
        <x:v>5.932823176823174</x:v>
      </x:c>
      <x:c r="J192" s="6" t="n">
        <x:f>'회귀분석'!$E$7+'회귀분석'!$E$6*F192+'회귀분석'!$E$5*H192</x:f>
        <x:v>-1.6886978022012968</x:v>
      </x:c>
    </x:row>
    <x:row r="193">
      <x:c r="A193" s="6" t="n">
        <x:v>-2.3</x:v>
      </x:c>
      <x:c r="B193" s="6" t="n">
        <x:v>0.53</x:v>
      </x:c>
      <x:c r="C193" s="6" t="n">
        <x:v>5.11</x:v>
      </x:c>
      <x:c r="D193" s="6" t="n">
        <x:v>3.69</x:v>
      </x:c>
      <x:c r="E193" s="6" t="n">
        <x:v>3.51</x:v>
      </x:c>
      <x:c r="F193" s="6" t="n">
        <x:v>0.275</x:v>
      </x:c>
      <x:c r="G193" s="6" t="n">
        <x:v>2.17</x:v>
      </x:c>
      <x:c r="H193" s="6" t="n">
        <x:v>0.07562500000000001</x:v>
      </x:c>
      <x:c r="I193" s="6" t="n">
        <x:f>'회귀분석'!$B$7+'회귀분석'!$B$6*F193</x:f>
        <x:v>8.974512487512484</x:v>
      </x:c>
      <x:c r="J193" s="6" t="n">
        <x:f>'회귀분석'!$E$7+'회귀분석'!$E$6*F193+'회귀분석'!$E$5*H193</x:f>
        <x:v>0.2642027971986636</x:v>
      </x:c>
    </x:row>
    <x:row r="194">
      <x:c r="A194" s="6" t="n">
        <x:v>-2.3</x:v>
      </x:c>
      <x:c r="B194" s="6" t="n">
        <x:v>0.53</x:v>
      </x:c>
      <x:c r="C194" s="6" t="n">
        <x:v>5.11</x:v>
      </x:c>
      <x:c r="D194" s="6" t="n">
        <x:v>3.69</x:v>
      </x:c>
      <x:c r="E194" s="6" t="n">
        <x:v>3.51</x:v>
      </x:c>
      <x:c r="F194" s="6" t="n">
        <x:v>0.3</x:v>
      </x:c>
      <x:c r="G194" s="6" t="n">
        <x:v>2.98</x:v>
      </x:c>
      <x:c r="H194" s="6" t="n">
        <x:v>0.09</x:v>
      </x:c>
      <x:c r="I194" s="6" t="n">
        <x:f>'회귀분석'!$B$7+'회귀분석'!$B$6*F194</x:f>
        <x:v>12.016201798201784</x:v>
      </x:c>
      <x:c r="J194" s="6" t="n">
        <x:f>'회귀분석'!$E$7+'회귀분석'!$E$6*F194+'회귀분석'!$E$5*H194</x:f>
        <x:v>3.305892107887857</x:v>
      </x:c>
    </x:row>
    <x:row r="195">
      <x:c r="A195" s="6" t="n">
        <x:v>-2.3</x:v>
      </x:c>
      <x:c r="B195" s="6" t="n">
        <x:v>0.53</x:v>
      </x:c>
      <x:c r="C195" s="6" t="n">
        <x:v>5.11</x:v>
      </x:c>
      <x:c r="D195" s="6" t="n">
        <x:v>3.69</x:v>
      </x:c>
      <x:c r="E195" s="6" t="n">
        <x:v>3.51</x:v>
      </x:c>
      <x:c r="F195" s="6" t="n">
        <x:v>0.325</x:v>
      </x:c>
      <x:c r="G195" s="6" t="n">
        <x:v>4.42</x:v>
      </x:c>
      <x:c r="H195" s="6" t="n">
        <x:v>0.10562500000000001</x:v>
      </x:c>
      <x:c r="I195" s="6" t="n">
        <x:f>'회귀분석'!$B$7+'회귀분석'!$B$6*F195</x:f>
        <x:v>15.057891108891098</x:v>
      </x:c>
      <x:c r="J195" s="6" t="n">
        <x:f>'회귀분석'!$E$7+'회귀분석'!$E$6*F195+'회귀분석'!$E$5*H195</x:f>
        <x:v>7.4363701298663045</x:v>
      </x:c>
    </x:row>
    <x:row r="196">
      <x:c r="A196" s="6" t="n">
        <x:v>-2.3</x:v>
      </x:c>
      <x:c r="B196" s="6" t="n">
        <x:v>0.53</x:v>
      </x:c>
      <x:c r="C196" s="6" t="n">
        <x:v>5.11</x:v>
      </x:c>
      <x:c r="D196" s="6" t="n">
        <x:v>3.69</x:v>
      </x:c>
      <x:c r="E196" s="6" t="n">
        <x:v>3.51</x:v>
      </x:c>
      <x:c r="F196" s="6" t="n">
        <x:v>0.35</x:v>
      </x:c>
      <x:c r="G196" s="6" t="n">
        <x:v>7.84</x:v>
      </x:c>
      <x:c r="H196" s="6" t="n">
        <x:v>0.12249999999999998</x:v>
      </x:c>
      <x:c r="I196" s="6" t="n">
        <x:f>'회귀분석'!$B$7+'회귀분석'!$B$6*F196</x:f>
        <x:v>18.0995804195804</x:v>
      </x:c>
      <x:c r="J196" s="6" t="n">
        <x:f>'회귀분석'!$E$7+'회귀분석'!$E$6*F196+'회귀분석'!$E$5*H196</x:f>
        <x:v>12.655636863133978</x:v>
      </x:c>
    </x:row>
    <x:row r="197">
      <x:c r="A197" s="6" t="n">
        <x:v>-2.3</x:v>
      </x:c>
      <x:c r="B197" s="6" t="n">
        <x:v>0.53</x:v>
      </x:c>
      <x:c r="C197" s="6" t="n">
        <x:v>5.11</x:v>
      </x:c>
      <x:c r="D197" s="6" t="n">
        <x:v>3.69</x:v>
      </x:c>
      <x:c r="E197" s="6" t="n">
        <x:v>3.51</x:v>
      </x:c>
      <x:c r="F197" s="6" t="n">
        <x:v>0.375</x:v>
      </x:c>
      <x:c r="G197" s="6" t="n">
        <x:v>14.11</x:v>
      </x:c>
      <x:c r="H197" s="6" t="n">
        <x:v>0.140625</x:v>
      </x:c>
      <x:c r="I197" s="6" t="n">
        <x:f>'회귀분석'!$B$7+'회귀분석'!$B$6*F197</x:f>
        <x:v>21.141269730269713</x:v>
      </x:c>
      <x:c r="J197" s="6" t="n">
        <x:f>'회귀분석'!$E$7+'회귀분석'!$E$6*F197+'회귀분석'!$E$5*H197</x:f>
        <x:v>18.96369230769092</x:v>
      </x:c>
    </x:row>
    <x:row r="198">
      <x:c r="A198" s="6" t="n">
        <x:v>-2.3</x:v>
      </x:c>
      <x:c r="B198" s="6" t="n">
        <x:v>0.53</x:v>
      </x:c>
      <x:c r="C198" s="6" t="n">
        <x:v>5.11</x:v>
      </x:c>
      <x:c r="D198" s="6" t="n">
        <x:v>3.69</x:v>
      </x:c>
      <x:c r="E198" s="6" t="n">
        <x:v>3.51</x:v>
      </x:c>
      <x:c r="F198" s="6" t="n">
        <x:v>0.4</x:v>
      </x:c>
      <x:c r="G198" s="6" t="n">
        <x:v>24.14</x:v>
      </x:c>
      <x:c r="H198" s="6" t="n">
        <x:v>0.16000000000000003</x:v>
      </x:c>
      <x:c r="I198" s="6" t="n">
        <x:f>'회귀분석'!$B$7+'회귀분석'!$B$6*F198</x:f>
        <x:v>24.18295904095902</x:v>
      </x:c>
      <x:c r="J198" s="6" t="n">
        <x:f>'회귀분석'!$E$7+'회귀분석'!$E$6*F198+'회귀분석'!$E$5*H198</x:f>
        <x:v>26.360536463537102</x:v>
      </x:c>
    </x:row>
    <x:row r="199">
      <x:c r="A199" s="6" t="n">
        <x:v>-2.3</x:v>
      </x:c>
      <x:c r="B199" s="6" t="n">
        <x:v>0.53</x:v>
      </x:c>
      <x:c r="C199" s="6" t="n">
        <x:v>5.11</x:v>
      </x:c>
      <x:c r="D199" s="6" t="n">
        <x:v>3.69</x:v>
      </x:c>
      <x:c r="E199" s="6" t="n">
        <x:v>3.51</x:v>
      </x:c>
      <x:c r="F199" s="6" t="n">
        <x:v>0.425</x:v>
      </x:c>
      <x:c r="G199" s="6" t="n">
        <x:v>37.95</x:v>
      </x:c>
      <x:c r="H199" s="6" t="n">
        <x:v>0.18062499999999998</x:v>
      </x:c>
      <x:c r="I199" s="6" t="n">
        <x:f>'회귀분석'!$B$7+'회귀분석'!$B$6*F199</x:f>
        <x:v>27.224648351648327</x:v>
      </x:c>
      <x:c r="J199" s="6" t="n">
        <x:f>'회귀분석'!$E$7+'회귀분석'!$E$6*F199+'회귀분석'!$E$5*H199</x:f>
        <x:v>34.846169330672495</x:v>
      </x:c>
    </x:row>
    <x:row r="200">
      <x:c r="A200" s="6" t="n">
        <x:v>-2.3</x:v>
      </x:c>
      <x:c r="B200" s="6" t="n">
        <x:v>0.53</x:v>
      </x:c>
      <x:c r="C200" s="6" t="n">
        <x:v>5.11</x:v>
      </x:c>
      <x:c r="D200" s="6" t="n">
        <x:v>3.69</x:v>
      </x:c>
      <x:c r="E200" s="6" t="n">
        <x:v>3.51</x:v>
      </x:c>
      <x:c r="F200" s="6" t="n">
        <x:v>0.45</x:v>
      </x:c>
      <x:c r="G200" s="6" t="n">
        <x:v>55.17</x:v>
      </x:c>
      <x:c r="H200" s="6" t="n">
        <x:v>0.2025</x:v>
      </x:c>
      <x:c r="I200" s="6" t="n">
        <x:f>'회귀분석'!$B$7+'회귀분석'!$B$6*F200</x:f>
        <x:v>30.266337662337634</x:v>
      </x:c>
      <x:c r="J200" s="6" t="n">
        <x:f>'회귀분석'!$E$7+'회귀분석'!$E$6*F200+'회귀분석'!$E$5*H200</x:f>
        <x:v>44.42059090909717</x:v>
      </x:c>
    </x:row>
    <x:row r="201">
      <x:c r="A201" s="6" t="n">
        <x:v>-2.3</x:v>
      </x:c>
      <x:c r="B201" s="6" t="n">
        <x:v>0.53</x:v>
      </x:c>
      <x:c r="C201" s="6" t="n">
        <x:v>4.76</x:v>
      </x:c>
      <x:c r="D201" s="6" t="n">
        <x:v>3.68</x:v>
      </x:c>
      <x:c r="E201" s="6" t="n">
        <x:v>3.16</x:v>
      </x:c>
      <x:c r="F201" s="6" t="n">
        <x:v>0.125</x:v>
      </x:c>
      <x:c r="G201" s="6" t="n">
        <x:v>0.1</x:v>
      </x:c>
      <x:c r="H201" s="6" t="n">
        <x:v>0.015625</x:v>
      </x:c>
      <x:c r="I201" s="6" t="n">
        <x:f>'회귀분석'!$B$7+'회귀분석'!$B$6*F201</x:f>
        <x:v>-9.275623376623363</x:v>
      </x:c>
      <x:c r="J201" s="6" t="n">
        <x:f>'회귀분석'!$E$7+'회귀분석'!$E$6*F201+'회귀분석'!$E$5*H201</x:f>
        <x:v>4.878629870137585</x:v>
      </x:c>
    </x:row>
    <x:row r="202">
      <x:c r="A202" s="6" t="n">
        <x:v>-2.3</x:v>
      </x:c>
      <x:c r="B202" s="6" t="n">
        <x:v>0.53</x:v>
      </x:c>
      <x:c r="C202" s="6" t="n">
        <x:v>4.76</x:v>
      </x:c>
      <x:c r="D202" s="6" t="n">
        <x:v>3.68</x:v>
      </x:c>
      <x:c r="E202" s="6" t="n">
        <x:v>3.16</x:v>
      </x:c>
      <x:c r="F202" s="6" t="n">
        <x:v>0.15</x:v>
      </x:c>
      <x:c r="G202" s="6" t="n">
        <x:v>0.23</x:v>
      </x:c>
      <x:c r="H202" s="6" t="n">
        <x:v>0.0225</x:v>
      </x:c>
      <x:c r="I202" s="6" t="n">
        <x:f>'회귀분석'!$B$7+'회귀분석'!$B$6*F202</x:f>
        <x:v>-6.233934065934058</x:v>
      </x:c>
      <x:c r="J202" s="6" t="n">
        <x:f>'회귀분석'!$E$7+'회귀분석'!$E$6*F202+'회귀분석'!$E$5*H202</x:f>
        <x:v>1.3875869130913223</x:v>
      </x:c>
    </x:row>
    <x:row r="203">
      <x:c r="A203" s="6" t="n">
        <x:v>-2.3</x:v>
      </x:c>
      <x:c r="B203" s="6" t="n">
        <x:v>0.53</x:v>
      </x:c>
      <x:c r="C203" s="6" t="n">
        <x:v>4.76</x:v>
      </x:c>
      <x:c r="D203" s="6" t="n">
        <x:v>3.68</x:v>
      </x:c>
      <x:c r="E203" s="6" t="n">
        <x:v>3.16</x:v>
      </x:c>
      <x:c r="F203" s="6" t="n">
        <x:v>0.175</x:v>
      </x:c>
      <x:c r="G203" s="6" t="n">
        <x:v>0.47</x:v>
      </x:c>
      <x:c r="H203" s="6" t="n">
        <x:v>0.030624999999999996</x:v>
      </x:c>
      <x:c r="I203" s="6" t="n">
        <x:f>'회귀분석'!$B$7+'회귀분석'!$B$6*F203</x:f>
        <x:v>-3.192244755244751</x:v>
      </x:c>
      <x:c r="J203" s="6" t="n">
        <x:f>'회귀분석'!$E$7+'회귀분석'!$E$6*F203+'회귀분석'!$E$5*H203</x:f>
        <x:v>-1.0146673326656988</x:v>
      </x:c>
    </x:row>
    <x:row r="204">
      <x:c r="A204" s="6" t="n">
        <x:v>-2.3</x:v>
      </x:c>
      <x:c r="B204" s="6" t="n">
        <x:v>0.53</x:v>
      </x:c>
      <x:c r="C204" s="6" t="n">
        <x:v>4.76</x:v>
      </x:c>
      <x:c r="D204" s="6" t="n">
        <x:v>3.68</x:v>
      </x:c>
      <x:c r="E204" s="6" t="n">
        <x:v>3.16</x:v>
      </x:c>
      <x:c r="F204" s="6" t="n">
        <x:v>0.2</x:v>
      </x:c>
      <x:c r="G204" s="6" t="n">
        <x:v>0.76</x:v>
      </x:c>
      <x:c r="H204" s="6" t="n">
        <x:v>0.04000000000000001</x:v>
      </x:c>
      <x:c r="I204" s="6" t="n">
        <x:f>'회귀분석'!$B$7+'회귀분석'!$B$6*F204</x:f>
        <x:v>-0.15055544455544023</x:v>
      </x:c>
      <x:c r="J204" s="6" t="n">
        <x:f>'회귀분석'!$E$7+'회귀분석'!$E$6*F204+'회귀분석'!$E$5*H204</x:f>
        <x:v>-2.3281328671334762</x:v>
      </x:c>
    </x:row>
    <x:row r="205">
      <x:c r="A205" s="6" t="n">
        <x:v>-2.3</x:v>
      </x:c>
      <x:c r="B205" s="6" t="n">
        <x:v>0.53</x:v>
      </x:c>
      <x:c r="C205" s="6" t="n">
        <x:v>4.76</x:v>
      </x:c>
      <x:c r="D205" s="6" t="n">
        <x:v>3.68</x:v>
      </x:c>
      <x:c r="E205" s="6" t="n">
        <x:v>3.16</x:v>
      </x:c>
      <x:c r="F205" s="6" t="n">
        <x:v>0.225</x:v>
      </x:c>
      <x:c r="G205" s="6" t="n">
        <x:v>1.15</x:v>
      </x:c>
      <x:c r="H205" s="6" t="n">
        <x:v>0.050625</x:v>
      </x:c>
      <x:c r="I205" s="6" t="n">
        <x:f>'회귀분석'!$B$7+'회귀분석'!$B$6*F205</x:f>
        <x:v>2.891133866133867</x:v>
      </x:c>
      <x:c r="J205" s="6" t="n">
        <x:f>'회귀분석'!$E$7+'회귀분석'!$E$6*F205+'회귀분석'!$E$5*H205</x:f>
        <x:v>-2.55280969031201</x:v>
      </x:c>
    </x:row>
    <x:row r="206">
      <x:c r="A206" s="6" t="n">
        <x:v>-2.3</x:v>
      </x:c>
      <x:c r="B206" s="6" t="n">
        <x:v>0.53</x:v>
      </x:c>
      <x:c r="C206" s="6" t="n">
        <x:v>4.76</x:v>
      </x:c>
      <x:c r="D206" s="6" t="n">
        <x:v>3.68</x:v>
      </x:c>
      <x:c r="E206" s="6" t="n">
        <x:v>3.16</x:v>
      </x:c>
      <x:c r="F206" s="6" t="n">
        <x:v>0.25</x:v>
      </x:c>
      <x:c r="G206" s="6" t="n">
        <x:v>1.65</x:v>
      </x:c>
      <x:c r="H206" s="6" t="n">
        <x:v>0.0625</x:v>
      </x:c>
      <x:c r="I206" s="6" t="n">
        <x:f>'회귀분석'!$B$7+'회귀분석'!$B$6*F206</x:f>
        <x:v>5.932823176823174</x:v>
      </x:c>
      <x:c r="J206" s="6" t="n">
        <x:f>'회귀분석'!$E$7+'회귀분석'!$E$6*F206+'회귀분석'!$E$5*H206</x:f>
        <x:v>-1.6886978022012968</x:v>
      </x:c>
    </x:row>
    <x:row r="207">
      <x:c r="A207" s="6" t="n">
        <x:v>-2.3</x:v>
      </x:c>
      <x:c r="B207" s="6" t="n">
        <x:v>0.53</x:v>
      </x:c>
      <x:c r="C207" s="6" t="n">
        <x:v>4.76</x:v>
      </x:c>
      <x:c r="D207" s="6" t="n">
        <x:v>3.68</x:v>
      </x:c>
      <x:c r="E207" s="6" t="n">
        <x:v>3.16</x:v>
      </x:c>
      <x:c r="F207" s="6" t="n">
        <x:v>0.275</x:v>
      </x:c>
      <x:c r="G207" s="6" t="n">
        <x:v>2.28</x:v>
      </x:c>
      <x:c r="H207" s="6" t="n">
        <x:v>0.07562500000000001</x:v>
      </x:c>
      <x:c r="I207" s="6" t="n">
        <x:f>'회귀분석'!$B$7+'회귀분석'!$B$6*F207</x:f>
        <x:v>8.974512487512484</x:v>
      </x:c>
      <x:c r="J207" s="6" t="n">
        <x:f>'회귀분석'!$E$7+'회귀분석'!$E$6*F207+'회귀분석'!$E$5*H207</x:f>
        <x:v>0.2642027971986636</x:v>
      </x:c>
    </x:row>
    <x:row r="208">
      <x:c r="A208" s="6" t="n">
        <x:v>-2.3</x:v>
      </x:c>
      <x:c r="B208" s="6" t="n">
        <x:v>0.53</x:v>
      </x:c>
      <x:c r="C208" s="6" t="n">
        <x:v>4.76</x:v>
      </x:c>
      <x:c r="D208" s="6" t="n">
        <x:v>3.68</x:v>
      </x:c>
      <x:c r="E208" s="6" t="n">
        <x:v>3.16</x:v>
      </x:c>
      <x:c r="F208" s="6" t="n">
        <x:v>0.3</x:v>
      </x:c>
      <x:c r="G208" s="6" t="n">
        <x:v>3.09</x:v>
      </x:c>
      <x:c r="H208" s="6" t="n">
        <x:v>0.09</x:v>
      </x:c>
      <x:c r="I208" s="6" t="n">
        <x:f>'회귀분석'!$B$7+'회귀분석'!$B$6*F208</x:f>
        <x:v>12.016201798201784</x:v>
      </x:c>
      <x:c r="J208" s="6" t="n">
        <x:f>'회귀분석'!$E$7+'회귀분석'!$E$6*F208+'회귀분석'!$E$5*H208</x:f>
        <x:v>3.305892107887857</x:v>
      </x:c>
    </x:row>
    <x:row r="209">
      <x:c r="A209" s="6" t="n">
        <x:v>-2.3</x:v>
      </x:c>
      <x:c r="B209" s="6" t="n">
        <x:v>0.53</x:v>
      </x:c>
      <x:c r="C209" s="6" t="n">
        <x:v>4.76</x:v>
      </x:c>
      <x:c r="D209" s="6" t="n">
        <x:v>3.68</x:v>
      </x:c>
      <x:c r="E209" s="6" t="n">
        <x:v>3.16</x:v>
      </x:c>
      <x:c r="F209" s="6" t="n">
        <x:v>0.325</x:v>
      </x:c>
      <x:c r="G209" s="6" t="n">
        <x:v>4.41</x:v>
      </x:c>
      <x:c r="H209" s="6" t="n">
        <x:v>0.10562500000000001</x:v>
      </x:c>
      <x:c r="I209" s="6" t="n">
        <x:f>'회귀분석'!$B$7+'회귀분석'!$B$6*F209</x:f>
        <x:v>15.057891108891098</x:v>
      </x:c>
      <x:c r="J209" s="6" t="n">
        <x:f>'회귀분석'!$E$7+'회귀분석'!$E$6*F209+'회귀분석'!$E$5*H209</x:f>
        <x:v>7.4363701298663045</x:v>
      </x:c>
    </x:row>
    <x:row r="210">
      <x:c r="A210" s="6" t="n">
        <x:v>-2.3</x:v>
      </x:c>
      <x:c r="B210" s="6" t="n">
        <x:v>0.53</x:v>
      </x:c>
      <x:c r="C210" s="6" t="n">
        <x:v>4.76</x:v>
      </x:c>
      <x:c r="D210" s="6" t="n">
        <x:v>3.68</x:v>
      </x:c>
      <x:c r="E210" s="6" t="n">
        <x:v>3.16</x:v>
      </x:c>
      <x:c r="F210" s="6" t="n">
        <x:v>0.35</x:v>
      </x:c>
      <x:c r="G210" s="6" t="n">
        <x:v>7.51</x:v>
      </x:c>
      <x:c r="H210" s="6" t="n">
        <x:v>0.12249999999999998</x:v>
      </x:c>
      <x:c r="I210" s="6" t="n">
        <x:f>'회귀분석'!$B$7+'회귀분석'!$B$6*F210</x:f>
        <x:v>18.0995804195804</x:v>
      </x:c>
      <x:c r="J210" s="6" t="n">
        <x:f>'회귀분석'!$E$7+'회귀분석'!$E$6*F210+'회귀분석'!$E$5*H210</x:f>
        <x:v>12.655636863133978</x:v>
      </x:c>
    </x:row>
    <x:row r="211">
      <x:c r="A211" s="6" t="n">
        <x:v>-2.3</x:v>
      </x:c>
      <x:c r="B211" s="6" t="n">
        <x:v>0.53</x:v>
      </x:c>
      <x:c r="C211" s="6" t="n">
        <x:v>4.76</x:v>
      </x:c>
      <x:c r="D211" s="6" t="n">
        <x:v>3.68</x:v>
      </x:c>
      <x:c r="E211" s="6" t="n">
        <x:v>3.16</x:v>
      </x:c>
      <x:c r="F211" s="6" t="n">
        <x:v>0.375</x:v>
      </x:c>
      <x:c r="G211" s="6" t="n">
        <x:v>13.77</x:v>
      </x:c>
      <x:c r="H211" s="6" t="n">
        <x:v>0.140625</x:v>
      </x:c>
      <x:c r="I211" s="6" t="n">
        <x:f>'회귀분석'!$B$7+'회귀분석'!$B$6*F211</x:f>
        <x:v>21.141269730269713</x:v>
      </x:c>
      <x:c r="J211" s="6" t="n">
        <x:f>'회귀분석'!$E$7+'회귀분석'!$E$6*F211+'회귀분석'!$E$5*H211</x:f>
        <x:v>18.96369230769092</x:v>
      </x:c>
    </x:row>
    <x:row r="212">
      <x:c r="A212" s="6" t="n">
        <x:v>-2.3</x:v>
      </x:c>
      <x:c r="B212" s="6" t="n">
        <x:v>0.53</x:v>
      </x:c>
      <x:c r="C212" s="6" t="n">
        <x:v>4.76</x:v>
      </x:c>
      <x:c r="D212" s="6" t="n">
        <x:v>3.68</x:v>
      </x:c>
      <x:c r="E212" s="6" t="n">
        <x:v>3.16</x:v>
      </x:c>
      <x:c r="F212" s="6" t="n">
        <x:v>0.4</x:v>
      </x:c>
      <x:c r="G212" s="6" t="n">
        <x:v>23.96</x:v>
      </x:c>
      <x:c r="H212" s="6" t="n">
        <x:v>0.16000000000000003</x:v>
      </x:c>
      <x:c r="I212" s="6" t="n">
        <x:f>'회귀분석'!$B$7+'회귀분석'!$B$6*F212</x:f>
        <x:v>24.18295904095902</x:v>
      </x:c>
      <x:c r="J212" s="6" t="n">
        <x:f>'회귀분석'!$E$7+'회귀분석'!$E$6*F212+'회귀분석'!$E$5*H212</x:f>
        <x:v>26.360536463537102</x:v>
      </x:c>
    </x:row>
    <x:row r="213">
      <x:c r="A213" s="6" t="n">
        <x:v>-2.3</x:v>
      </x:c>
      <x:c r="B213" s="6" t="n">
        <x:v>0.53</x:v>
      </x:c>
      <x:c r="C213" s="6" t="n">
        <x:v>4.76</x:v>
      </x:c>
      <x:c r="D213" s="6" t="n">
        <x:v>3.68</x:v>
      </x:c>
      <x:c r="E213" s="6" t="n">
        <x:v>3.16</x:v>
      </x:c>
      <x:c r="F213" s="6" t="n">
        <x:v>0.425</x:v>
      </x:c>
      <x:c r="G213" s="6" t="n">
        <x:v>37.38</x:v>
      </x:c>
      <x:c r="H213" s="6" t="n">
        <x:v>0.18062499999999998</x:v>
      </x:c>
      <x:c r="I213" s="6" t="n">
        <x:f>'회귀분석'!$B$7+'회귀분석'!$B$6*F213</x:f>
        <x:v>27.224648351648327</x:v>
      </x:c>
      <x:c r="J213" s="6" t="n">
        <x:f>'회귀분석'!$E$7+'회귀분석'!$E$6*F213+'회귀분석'!$E$5*H213</x:f>
        <x:v>34.846169330672495</x:v>
      </x:c>
    </x:row>
    <x:row r="214">
      <x:c r="A214" s="6" t="n">
        <x:v>-2.3</x:v>
      </x:c>
      <x:c r="B214" s="6" t="n">
        <x:v>0.53</x:v>
      </x:c>
      <x:c r="C214" s="6" t="n">
        <x:v>4.76</x:v>
      </x:c>
      <x:c r="D214" s="6" t="n">
        <x:v>3.68</x:v>
      </x:c>
      <x:c r="E214" s="6" t="n">
        <x:v>3.16</x:v>
      </x:c>
      <x:c r="F214" s="6" t="n">
        <x:v>0.45</x:v>
      </x:c>
      <x:c r="G214" s="6" t="n">
        <x:v>56.46</x:v>
      </x:c>
      <x:c r="H214" s="6" t="n">
        <x:v>0.2025</x:v>
      </x:c>
      <x:c r="I214" s="6" t="n">
        <x:f>'회귀분석'!$B$7+'회귀분석'!$B$6*F214</x:f>
        <x:v>30.266337662337634</x:v>
      </x:c>
      <x:c r="J214" s="6" t="n">
        <x:f>'회귀분석'!$E$7+'회귀분석'!$E$6*F214+'회귀분석'!$E$5*H214</x:f>
        <x:v>44.42059090909717</x:v>
      </x:c>
    </x:row>
    <x:row r="215">
      <x:c r="A215" s="6" t="n">
        <x:v>-2.3</x:v>
      </x:c>
      <x:c r="B215" s="6" t="n">
        <x:v>0.53</x:v>
      </x:c>
      <x:c r="C215" s="6" t="n">
        <x:v>4.34</x:v>
      </x:c>
      <x:c r="D215" s="6" t="n">
        <x:v>2.81</x:v>
      </x:c>
      <x:c r="E215" s="6" t="n">
        <x:v>3.15</x:v>
      </x:c>
      <x:c r="F215" s="6" t="n">
        <x:v>0.125</x:v>
      </x:c>
      <x:c r="G215" s="6" t="n">
        <x:v>0.05</x:v>
      </x:c>
      <x:c r="H215" s="6" t="n">
        <x:v>0.015625</x:v>
      </x:c>
      <x:c r="I215" s="6" t="n">
        <x:f>'회귀분석'!$B$7+'회귀분석'!$B$6*F215</x:f>
        <x:v>-9.275623376623363</x:v>
      </x:c>
      <x:c r="J215" s="6" t="n">
        <x:f>'회귀분석'!$E$7+'회귀분석'!$E$6*F215+'회귀분석'!$E$5*H215</x:f>
        <x:v>4.878629870137585</x:v>
      </x:c>
    </x:row>
    <x:row r="216">
      <x:c r="A216" s="6" t="n">
        <x:v>-2.3</x:v>
      </x:c>
      <x:c r="B216" s="6" t="n">
        <x:v>0.53</x:v>
      </x:c>
      <x:c r="C216" s="6" t="n">
        <x:v>4.34</x:v>
      </x:c>
      <x:c r="D216" s="6" t="n">
        <x:v>2.81</x:v>
      </x:c>
      <x:c r="E216" s="6" t="n">
        <x:v>3.15</x:v>
      </x:c>
      <x:c r="F216" s="6" t="n">
        <x:v>0.15</x:v>
      </x:c>
      <x:c r="G216" s="6" t="n">
        <x:v>0.17</x:v>
      </x:c>
      <x:c r="H216" s="6" t="n">
        <x:v>0.0225</x:v>
      </x:c>
      <x:c r="I216" s="6" t="n">
        <x:f>'회귀분석'!$B$7+'회귀분석'!$B$6*F216</x:f>
        <x:v>-6.233934065934058</x:v>
      </x:c>
      <x:c r="J216" s="6" t="n">
        <x:f>'회귀분석'!$E$7+'회귀분석'!$E$6*F216+'회귀분석'!$E$5*H216</x:f>
        <x:v>1.3875869130913223</x:v>
      </x:c>
    </x:row>
    <x:row r="217">
      <x:c r="A217" s="6" t="n">
        <x:v>-2.3</x:v>
      </x:c>
      <x:c r="B217" s="6" t="n">
        <x:v>0.53</x:v>
      </x:c>
      <x:c r="C217" s="6" t="n">
        <x:v>4.34</x:v>
      </x:c>
      <x:c r="D217" s="6" t="n">
        <x:v>2.81</x:v>
      </x:c>
      <x:c r="E217" s="6" t="n">
        <x:v>3.15</x:v>
      </x:c>
      <x:c r="F217" s="6" t="n">
        <x:v>0.175</x:v>
      </x:c>
      <x:c r="G217" s="6" t="n">
        <x:v>0.35</x:v>
      </x:c>
      <x:c r="H217" s="6" t="n">
        <x:v>0.030624999999999996</x:v>
      </x:c>
      <x:c r="I217" s="6" t="n">
        <x:f>'회귀분석'!$B$7+'회귀분석'!$B$6*F217</x:f>
        <x:v>-3.192244755244751</x:v>
      </x:c>
      <x:c r="J217" s="6" t="n">
        <x:f>'회귀분석'!$E$7+'회귀분석'!$E$6*F217+'회귀분석'!$E$5*H217</x:f>
        <x:v>-1.0146673326656988</x:v>
      </x:c>
    </x:row>
    <x:row r="218">
      <x:c r="A218" s="6" t="n">
        <x:v>-2.3</x:v>
      </x:c>
      <x:c r="B218" s="6" t="n">
        <x:v>0.53</x:v>
      </x:c>
      <x:c r="C218" s="6" t="n">
        <x:v>4.34</x:v>
      </x:c>
      <x:c r="D218" s="6" t="n">
        <x:v>2.81</x:v>
      </x:c>
      <x:c r="E218" s="6" t="n">
        <x:v>3.15</x:v>
      </x:c>
      <x:c r="F218" s="6" t="n">
        <x:v>0.2</x:v>
      </x:c>
      <x:c r="G218" s="6" t="n">
        <x:v>0.63</x:v>
      </x:c>
      <x:c r="H218" s="6" t="n">
        <x:v>0.04000000000000001</x:v>
      </x:c>
      <x:c r="I218" s="6" t="n">
        <x:f>'회귀분석'!$B$7+'회귀분석'!$B$6*F218</x:f>
        <x:v>-0.15055544455544023</x:v>
      </x:c>
      <x:c r="J218" s="6" t="n">
        <x:f>'회귀분석'!$E$7+'회귀분석'!$E$6*F218+'회귀분석'!$E$5*H218</x:f>
        <x:v>-2.3281328671334762</x:v>
      </x:c>
    </x:row>
    <x:row r="219">
      <x:c r="A219" s="6" t="n">
        <x:v>-2.3</x:v>
      </x:c>
      <x:c r="B219" s="6" t="n">
        <x:v>0.53</x:v>
      </x:c>
      <x:c r="C219" s="6" t="n">
        <x:v>4.34</x:v>
      </x:c>
      <x:c r="D219" s="6" t="n">
        <x:v>2.81</x:v>
      </x:c>
      <x:c r="E219" s="6" t="n">
        <x:v>3.15</x:v>
      </x:c>
      <x:c r="F219" s="6" t="n">
        <x:v>0.225</x:v>
      </x:c>
      <x:c r="G219" s="6" t="n">
        <x:v>1.01</x:v>
      </x:c>
      <x:c r="H219" s="6" t="n">
        <x:v>0.050625</x:v>
      </x:c>
      <x:c r="I219" s="6" t="n">
        <x:f>'회귀분석'!$B$7+'회귀분석'!$B$6*F219</x:f>
        <x:v>2.891133866133867</x:v>
      </x:c>
      <x:c r="J219" s="6" t="n">
        <x:f>'회귀분석'!$E$7+'회귀분석'!$E$6*F219+'회귀분석'!$E$5*H219</x:f>
        <x:v>-2.55280969031201</x:v>
      </x:c>
    </x:row>
    <x:row r="220">
      <x:c r="A220" s="6" t="n">
        <x:v>-2.3</x:v>
      </x:c>
      <x:c r="B220" s="6" t="n">
        <x:v>0.53</x:v>
      </x:c>
      <x:c r="C220" s="6" t="n">
        <x:v>4.34</x:v>
      </x:c>
      <x:c r="D220" s="6" t="n">
        <x:v>2.81</x:v>
      </x:c>
      <x:c r="E220" s="6" t="n">
        <x:v>3.15</x:v>
      </x:c>
      <x:c r="F220" s="6" t="n">
        <x:v>0.25</x:v>
      </x:c>
      <x:c r="G220" s="6" t="n">
        <x:v>1.43</x:v>
      </x:c>
      <x:c r="H220" s="6" t="n">
        <x:v>0.0625</x:v>
      </x:c>
      <x:c r="I220" s="6" t="n">
        <x:f>'회귀분석'!$B$7+'회귀분석'!$B$6*F220</x:f>
        <x:v>5.932823176823174</x:v>
      </x:c>
      <x:c r="J220" s="6" t="n">
        <x:f>'회귀분석'!$E$7+'회귀분석'!$E$6*F220+'회귀분석'!$E$5*H220</x:f>
        <x:v>-1.6886978022012968</x:v>
      </x:c>
    </x:row>
    <x:row r="221">
      <x:c r="A221" s="6" t="n">
        <x:v>-2.3</x:v>
      </x:c>
      <x:c r="B221" s="6" t="n">
        <x:v>0.53</x:v>
      </x:c>
      <x:c r="C221" s="6" t="n">
        <x:v>4.34</x:v>
      </x:c>
      <x:c r="D221" s="6" t="n">
        <x:v>2.81</x:v>
      </x:c>
      <x:c r="E221" s="6" t="n">
        <x:v>3.15</x:v>
      </x:c>
      <x:c r="F221" s="6" t="n">
        <x:v>0.275</x:v>
      </x:c>
      <x:c r="G221" s="6" t="n">
        <x:v>2.05</x:v>
      </x:c>
      <x:c r="H221" s="6" t="n">
        <x:v>0.07562500000000001</x:v>
      </x:c>
      <x:c r="I221" s="6" t="n">
        <x:f>'회귀분석'!$B$7+'회귀분석'!$B$6*F221</x:f>
        <x:v>8.974512487512484</x:v>
      </x:c>
      <x:c r="J221" s="6" t="n">
        <x:f>'회귀분석'!$E$7+'회귀분석'!$E$6*F221+'회귀분석'!$E$5*H221</x:f>
        <x:v>0.2642027971986636</x:v>
      </x:c>
    </x:row>
    <x:row r="222">
      <x:c r="A222" s="6" t="n">
        <x:v>-2.3</x:v>
      </x:c>
      <x:c r="B222" s="6" t="n">
        <x:v>0.53</x:v>
      </x:c>
      <x:c r="C222" s="6" t="n">
        <x:v>4.34</x:v>
      </x:c>
      <x:c r="D222" s="6" t="n">
        <x:v>2.81</x:v>
      </x:c>
      <x:c r="E222" s="6" t="n">
        <x:v>3.15</x:v>
      </x:c>
      <x:c r="F222" s="6" t="n">
        <x:v>0.3</x:v>
      </x:c>
      <x:c r="G222" s="6" t="n">
        <x:v>2.73</x:v>
      </x:c>
      <x:c r="H222" s="6" t="n">
        <x:v>0.09</x:v>
      </x:c>
      <x:c r="I222" s="6" t="n">
        <x:f>'회귀분석'!$B$7+'회귀분석'!$B$6*F222</x:f>
        <x:v>12.016201798201784</x:v>
      </x:c>
      <x:c r="J222" s="6" t="n">
        <x:f>'회귀분석'!$E$7+'회귀분석'!$E$6*F222+'회귀분석'!$E$5*H222</x:f>
        <x:v>3.305892107887857</x:v>
      </x:c>
    </x:row>
    <x:row r="223">
      <x:c r="A223" s="6" t="n">
        <x:v>-2.3</x:v>
      </x:c>
      <x:c r="B223" s="6" t="n">
        <x:v>0.53</x:v>
      </x:c>
      <x:c r="C223" s="6" t="n">
        <x:v>4.34</x:v>
      </x:c>
      <x:c r="D223" s="6" t="n">
        <x:v>2.81</x:v>
      </x:c>
      <x:c r="E223" s="6" t="n">
        <x:v>3.15</x:v>
      </x:c>
      <x:c r="F223" s="6" t="n">
        <x:v>0.325</x:v>
      </x:c>
      <x:c r="G223" s="6" t="n">
        <x:v>3.87</x:v>
      </x:c>
      <x:c r="H223" s="6" t="n">
        <x:v>0.10562500000000001</x:v>
      </x:c>
      <x:c r="I223" s="6" t="n">
        <x:f>'회귀분석'!$B$7+'회귀분석'!$B$6*F223</x:f>
        <x:v>15.057891108891098</x:v>
      </x:c>
      <x:c r="J223" s="6" t="n">
        <x:f>'회귀분석'!$E$7+'회귀분석'!$E$6*F223+'회귀분석'!$E$5*H223</x:f>
        <x:v>7.4363701298663045</x:v>
      </x:c>
    </x:row>
    <x:row r="224">
      <x:c r="A224" s="6" t="n">
        <x:v>-2.3</x:v>
      </x:c>
      <x:c r="B224" s="6" t="n">
        <x:v>0.53</x:v>
      </x:c>
      <x:c r="C224" s="6" t="n">
        <x:v>4.34</x:v>
      </x:c>
      <x:c r="D224" s="6" t="n">
        <x:v>2.81</x:v>
      </x:c>
      <x:c r="E224" s="6" t="n">
        <x:v>3.15</x:v>
      </x:c>
      <x:c r="F224" s="6" t="n">
        <x:v>0.35</x:v>
      </x:c>
      <x:c r="G224" s="6" t="n">
        <x:v>7.19</x:v>
      </x:c>
      <x:c r="H224" s="6" t="n">
        <x:v>0.12249999999999998</x:v>
      </x:c>
      <x:c r="I224" s="6" t="n">
        <x:f>'회귀분석'!$B$7+'회귀분석'!$B$6*F224</x:f>
        <x:v>18.0995804195804</x:v>
      </x:c>
      <x:c r="J224" s="6" t="n">
        <x:f>'회귀분석'!$E$7+'회귀분석'!$E$6*F224+'회귀분석'!$E$5*H224</x:f>
        <x:v>12.655636863133978</x:v>
      </x:c>
    </x:row>
    <x:row r="225">
      <x:c r="A225" s="6" t="n">
        <x:v>-2.3</x:v>
      </x:c>
      <x:c r="B225" s="6" t="n">
        <x:v>0.53</x:v>
      </x:c>
      <x:c r="C225" s="6" t="n">
        <x:v>4.34</x:v>
      </x:c>
      <x:c r="D225" s="6" t="n">
        <x:v>2.81</x:v>
      </x:c>
      <x:c r="E225" s="6" t="n">
        <x:v>3.15</x:v>
      </x:c>
      <x:c r="F225" s="6" t="n">
        <x:v>0.375</x:v>
      </x:c>
      <x:c r="G225" s="6" t="n">
        <x:v>13.96</x:v>
      </x:c>
      <x:c r="H225" s="6" t="n">
        <x:v>0.140625</x:v>
      </x:c>
      <x:c r="I225" s="6" t="n">
        <x:f>'회귀분석'!$B$7+'회귀분석'!$B$6*F225</x:f>
        <x:v>21.141269730269713</x:v>
      </x:c>
      <x:c r="J225" s="6" t="n">
        <x:f>'회귀분석'!$E$7+'회귀분석'!$E$6*F225+'회귀분석'!$E$5*H225</x:f>
        <x:v>18.96369230769092</x:v>
      </x:c>
    </x:row>
    <x:row r="226">
      <x:c r="A226" s="6" t="n">
        <x:v>-2.3</x:v>
      </x:c>
      <x:c r="B226" s="6" t="n">
        <x:v>0.53</x:v>
      </x:c>
      <x:c r="C226" s="6" t="n">
        <x:v>4.34</x:v>
      </x:c>
      <x:c r="D226" s="6" t="n">
        <x:v>2.81</x:v>
      </x:c>
      <x:c r="E226" s="6" t="n">
        <x:v>3.15</x:v>
      </x:c>
      <x:c r="F226" s="6" t="n">
        <x:v>0.4</x:v>
      </x:c>
      <x:c r="G226" s="6" t="n">
        <x:v>25.18</x:v>
      </x:c>
      <x:c r="H226" s="6" t="n">
        <x:v>0.16000000000000003</x:v>
      </x:c>
      <x:c r="I226" s="6" t="n">
        <x:f>'회귀분석'!$B$7+'회귀분석'!$B$6*F226</x:f>
        <x:v>24.18295904095902</x:v>
      </x:c>
      <x:c r="J226" s="6" t="n">
        <x:f>'회귀분석'!$E$7+'회귀분석'!$E$6*F226+'회귀분석'!$E$5*H226</x:f>
        <x:v>26.360536463537102</x:v>
      </x:c>
    </x:row>
    <x:row r="227">
      <x:c r="A227" s="6" t="n">
        <x:v>-2.3</x:v>
      </x:c>
      <x:c r="B227" s="6" t="n">
        <x:v>0.53</x:v>
      </x:c>
      <x:c r="C227" s="6" t="n">
        <x:v>4.34</x:v>
      </x:c>
      <x:c r="D227" s="6" t="n">
        <x:v>2.81</x:v>
      </x:c>
      <x:c r="E227" s="6" t="n">
        <x:v>3.15</x:v>
      </x:c>
      <x:c r="F227" s="6" t="n">
        <x:v>0.425</x:v>
      </x:c>
      <x:c r="G227" s="6" t="n">
        <x:v>41.34</x:v>
      </x:c>
      <x:c r="H227" s="6" t="n">
        <x:v>0.18062499999999998</x:v>
      </x:c>
      <x:c r="I227" s="6" t="n">
        <x:f>'회귀분석'!$B$7+'회귀분석'!$B$6*F227</x:f>
        <x:v>27.224648351648327</x:v>
      </x:c>
      <x:c r="J227" s="6" t="n">
        <x:f>'회귀분석'!$E$7+'회귀분석'!$E$6*F227+'회귀분석'!$E$5*H227</x:f>
        <x:v>34.846169330672495</x:v>
      </x:c>
    </x:row>
    <x:row r="228">
      <x:c r="A228" s="6" t="n">
        <x:v>-2.3</x:v>
      </x:c>
      <x:c r="B228" s="6" t="n">
        <x:v>0.53</x:v>
      </x:c>
      <x:c r="C228" s="6" t="n">
        <x:v>4.34</x:v>
      </x:c>
      <x:c r="D228" s="6" t="n">
        <x:v>2.81</x:v>
      </x:c>
      <x:c r="E228" s="6" t="n">
        <x:v>3.15</x:v>
      </x:c>
      <x:c r="F228" s="6" t="n">
        <x:v>0.45</x:v>
      </x:c>
      <x:c r="G228" s="6" t="n">
        <x:v>62.42</x:v>
      </x:c>
      <x:c r="H228" s="6" t="n">
        <x:v>0.2025</x:v>
      </x:c>
      <x:c r="I228" s="6" t="n">
        <x:f>'회귀분석'!$B$7+'회귀분석'!$B$6*F228</x:f>
        <x:v>30.266337662337634</x:v>
      </x:c>
      <x:c r="J228" s="6" t="n">
        <x:f>'회귀분석'!$E$7+'회귀분석'!$E$6*F228+'회귀분석'!$E$5*H228</x:f>
        <x:v>44.42059090909717</x:v>
      </x:c>
    </x:row>
    <x:row r="229">
      <x:c r="A229" s="6" t="n">
        <x:v>0</x:v>
      </x:c>
      <x:c r="B229" s="6" t="n">
        <x:v>0.6</x:v>
      </x:c>
      <x:c r="C229" s="6" t="n">
        <x:v>4.78</x:v>
      </x:c>
      <x:c r="D229" s="6" t="n">
        <x:v>4.24</x:v>
      </x:c>
      <x:c r="E229" s="6" t="n">
        <x:v>3.15</x:v>
      </x:c>
      <x:c r="F229" s="6" t="n">
        <x:v>0.125</x:v>
      </x:c>
      <x:c r="G229" s="6" t="n">
        <x:v>0.03</x:v>
      </x:c>
      <x:c r="H229" s="6" t="n">
        <x:v>0.015625</x:v>
      </x:c>
      <x:c r="I229" s="6" t="n">
        <x:f>'회귀분석'!$B$7+'회귀분석'!$B$6*F229</x:f>
        <x:v>-9.275623376623363</x:v>
      </x:c>
      <x:c r="J229" s="6" t="n">
        <x:f>'회귀분석'!$E$7+'회귀분석'!$E$6*F229+'회귀분석'!$E$5*H229</x:f>
        <x:v>4.878629870137585</x:v>
      </x:c>
    </x:row>
    <x:row r="230">
      <x:c r="A230" s="6" t="n">
        <x:v>0</x:v>
      </x:c>
      <x:c r="B230" s="6" t="n">
        <x:v>0.6</x:v>
      </x:c>
      <x:c r="C230" s="6" t="n">
        <x:v>4.78</x:v>
      </x:c>
      <x:c r="D230" s="6" t="n">
        <x:v>4.24</x:v>
      </x:c>
      <x:c r="E230" s="6" t="n">
        <x:v>3.15</x:v>
      </x:c>
      <x:c r="F230" s="6" t="n">
        <x:v>0.15</x:v>
      </x:c>
      <x:c r="G230" s="6" t="n">
        <x:v>0.18</x:v>
      </x:c>
      <x:c r="H230" s="6" t="n">
        <x:v>0.0225</x:v>
      </x:c>
      <x:c r="I230" s="6" t="n">
        <x:f>'회귀분석'!$B$7+'회귀분석'!$B$6*F230</x:f>
        <x:v>-6.233934065934058</x:v>
      </x:c>
      <x:c r="J230" s="6" t="n">
        <x:f>'회귀분석'!$E$7+'회귀분석'!$E$6*F230+'회귀분석'!$E$5*H230</x:f>
        <x:v>1.3875869130913223</x:v>
      </x:c>
    </x:row>
    <x:row r="231">
      <x:c r="A231" s="6" t="n">
        <x:v>0</x:v>
      </x:c>
      <x:c r="B231" s="6" t="n">
        <x:v>0.6</x:v>
      </x:c>
      <x:c r="C231" s="6" t="n">
        <x:v>4.78</x:v>
      </x:c>
      <x:c r="D231" s="6" t="n">
        <x:v>4.24</x:v>
      </x:c>
      <x:c r="E231" s="6" t="n">
        <x:v>3.15</x:v>
      </x:c>
      <x:c r="F231" s="6" t="n">
        <x:v>0.175</x:v>
      </x:c>
      <x:c r="G231" s="6" t="n">
        <x:v>0.4</x:v>
      </x:c>
      <x:c r="H231" s="6" t="n">
        <x:v>0.030624999999999996</x:v>
      </x:c>
      <x:c r="I231" s="6" t="n">
        <x:f>'회귀분석'!$B$7+'회귀분석'!$B$6*F231</x:f>
        <x:v>-3.192244755244751</x:v>
      </x:c>
      <x:c r="J231" s="6" t="n">
        <x:f>'회귀분석'!$E$7+'회귀분석'!$E$6*F231+'회귀분석'!$E$5*H231</x:f>
        <x:v>-1.0146673326656988</x:v>
      </x:c>
    </x:row>
    <x:row r="232">
      <x:c r="A232" s="6" t="n">
        <x:v>0</x:v>
      </x:c>
      <x:c r="B232" s="6" t="n">
        <x:v>0.6</x:v>
      </x:c>
      <x:c r="C232" s="6" t="n">
        <x:v>4.78</x:v>
      </x:c>
      <x:c r="D232" s="6" t="n">
        <x:v>4.24</x:v>
      </x:c>
      <x:c r="E232" s="6" t="n">
        <x:v>3.15</x:v>
      </x:c>
      <x:c r="F232" s="6" t="n">
        <x:v>0.2</x:v>
      </x:c>
      <x:c r="G232" s="6" t="n">
        <x:v>0.73</x:v>
      </x:c>
      <x:c r="H232" s="6" t="n">
        <x:v>0.04000000000000001</x:v>
      </x:c>
      <x:c r="I232" s="6" t="n">
        <x:f>'회귀분석'!$B$7+'회귀분석'!$B$6*F232</x:f>
        <x:v>-0.15055544455544023</x:v>
      </x:c>
      <x:c r="J232" s="6" t="n">
        <x:f>'회귀분석'!$E$7+'회귀분석'!$E$6*F232+'회귀분석'!$E$5*H232</x:f>
        <x:v>-2.3281328671334762</x:v>
      </x:c>
    </x:row>
    <x:row r="233">
      <x:c r="A233" s="6" t="n">
        <x:v>0</x:v>
      </x:c>
      <x:c r="B233" s="6" t="n">
        <x:v>0.6</x:v>
      </x:c>
      <x:c r="C233" s="6" t="n">
        <x:v>4.78</x:v>
      </x:c>
      <x:c r="D233" s="6" t="n">
        <x:v>4.24</x:v>
      </x:c>
      <x:c r="E233" s="6" t="n">
        <x:v>3.15</x:v>
      </x:c>
      <x:c r="F233" s="6" t="n">
        <x:v>0.225</x:v>
      </x:c>
      <x:c r="G233" s="6" t="n">
        <x:v>1.3</x:v>
      </x:c>
      <x:c r="H233" s="6" t="n">
        <x:v>0.050625</x:v>
      </x:c>
      <x:c r="I233" s="6" t="n">
        <x:f>'회귀분석'!$B$7+'회귀분석'!$B$6*F233</x:f>
        <x:v>2.891133866133867</x:v>
      </x:c>
      <x:c r="J233" s="6" t="n">
        <x:f>'회귀분석'!$E$7+'회귀분석'!$E$6*F233+'회귀분석'!$E$5*H233</x:f>
        <x:v>-2.55280969031201</x:v>
      </x:c>
    </x:row>
    <x:row r="234">
      <x:c r="A234" s="6" t="n">
        <x:v>0</x:v>
      </x:c>
      <x:c r="B234" s="6" t="n">
        <x:v>0.6</x:v>
      </x:c>
      <x:c r="C234" s="6" t="n">
        <x:v>4.78</x:v>
      </x:c>
      <x:c r="D234" s="6" t="n">
        <x:v>4.24</x:v>
      </x:c>
      <x:c r="E234" s="6" t="n">
        <x:v>3.15</x:v>
      </x:c>
      <x:c r="F234" s="6" t="n">
        <x:v>0.25</x:v>
      </x:c>
      <x:c r="G234" s="6" t="n">
        <x:v>2.16</x:v>
      </x:c>
      <x:c r="H234" s="6" t="n">
        <x:v>0.0625</x:v>
      </x:c>
      <x:c r="I234" s="6" t="n">
        <x:f>'회귀분석'!$B$7+'회귀분석'!$B$6*F234</x:f>
        <x:v>5.932823176823174</x:v>
      </x:c>
      <x:c r="J234" s="6" t="n">
        <x:f>'회귀분석'!$E$7+'회귀분석'!$E$6*F234+'회귀분석'!$E$5*H234</x:f>
        <x:v>-1.6886978022012968</x:v>
      </x:c>
    </x:row>
    <x:row r="235">
      <x:c r="A235" s="6" t="n">
        <x:v>0</x:v>
      </x:c>
      <x:c r="B235" s="6" t="n">
        <x:v>0.6</x:v>
      </x:c>
      <x:c r="C235" s="6" t="n">
        <x:v>4.78</x:v>
      </x:c>
      <x:c r="D235" s="6" t="n">
        <x:v>4.24</x:v>
      </x:c>
      <x:c r="E235" s="6" t="n">
        <x:v>3.15</x:v>
      </x:c>
      <x:c r="F235" s="6" t="n">
        <x:v>0.275</x:v>
      </x:c>
      <x:c r="G235" s="6" t="n">
        <x:v>3.35</x:v>
      </x:c>
      <x:c r="H235" s="6" t="n">
        <x:v>0.07562500000000001</x:v>
      </x:c>
      <x:c r="I235" s="6" t="n">
        <x:f>'회귀분석'!$B$7+'회귀분석'!$B$6*F235</x:f>
        <x:v>8.974512487512484</x:v>
      </x:c>
      <x:c r="J235" s="6" t="n">
        <x:f>'회귀분석'!$E$7+'회귀분석'!$E$6*F235+'회귀분석'!$E$5*H235</x:f>
        <x:v>0.2642027971986636</x:v>
      </x:c>
    </x:row>
    <x:row r="236">
      <x:c r="A236" s="6" t="n">
        <x:v>0</x:v>
      </x:c>
      <x:c r="B236" s="6" t="n">
        <x:v>0.6</x:v>
      </x:c>
      <x:c r="C236" s="6" t="n">
        <x:v>4.78</x:v>
      </x:c>
      <x:c r="D236" s="6" t="n">
        <x:v>4.24</x:v>
      </x:c>
      <x:c r="E236" s="6" t="n">
        <x:v>3.15</x:v>
      </x:c>
      <x:c r="F236" s="6" t="n">
        <x:v>0.3</x:v>
      </x:c>
      <x:c r="G236" s="6" t="n">
        <x:v>5.06</x:v>
      </x:c>
      <x:c r="H236" s="6" t="n">
        <x:v>0.09</x:v>
      </x:c>
      <x:c r="I236" s="6" t="n">
        <x:f>'회귀분석'!$B$7+'회귀분석'!$B$6*F236</x:f>
        <x:v>12.016201798201784</x:v>
      </x:c>
      <x:c r="J236" s="6" t="n">
        <x:f>'회귀분석'!$E$7+'회귀분석'!$E$6*F236+'회귀분석'!$E$5*H236</x:f>
        <x:v>3.305892107887857</x:v>
      </x:c>
    </x:row>
    <x:row r="237">
      <x:c r="A237" s="6" t="n">
        <x:v>0</x:v>
      </x:c>
      <x:c r="B237" s="6" t="n">
        <x:v>0.6</x:v>
      </x:c>
      <x:c r="C237" s="6" t="n">
        <x:v>4.78</x:v>
      </x:c>
      <x:c r="D237" s="6" t="n">
        <x:v>4.24</x:v>
      </x:c>
      <x:c r="E237" s="6" t="n">
        <x:v>3.15</x:v>
      </x:c>
      <x:c r="F237" s="6" t="n">
        <x:v>0.325</x:v>
      </x:c>
      <x:c r="G237" s="6" t="n">
        <x:v>7.14</x:v>
      </x:c>
      <x:c r="H237" s="6" t="n">
        <x:v>0.10562500000000001</x:v>
      </x:c>
      <x:c r="I237" s="6" t="n">
        <x:f>'회귀분석'!$B$7+'회귀분석'!$B$6*F237</x:f>
        <x:v>15.057891108891098</x:v>
      </x:c>
      <x:c r="J237" s="6" t="n">
        <x:f>'회귀분석'!$E$7+'회귀분석'!$E$6*F237+'회귀분석'!$E$5*H237</x:f>
        <x:v>7.4363701298663045</x:v>
      </x:c>
    </x:row>
    <x:row r="238">
      <x:c r="A238" s="6" t="n">
        <x:v>0</x:v>
      </x:c>
      <x:c r="B238" s="6" t="n">
        <x:v>0.6</x:v>
      </x:c>
      <x:c r="C238" s="6" t="n">
        <x:v>4.78</x:v>
      </x:c>
      <x:c r="D238" s="6" t="n">
        <x:v>4.24</x:v>
      </x:c>
      <x:c r="E238" s="6" t="n">
        <x:v>3.15</x:v>
      </x:c>
      <x:c r="F238" s="6" t="n">
        <x:v>0.35</x:v>
      </x:c>
      <x:c r="G238" s="6" t="n">
        <x:v>10.36</x:v>
      </x:c>
      <x:c r="H238" s="6" t="n">
        <x:v>0.12249999999999998</x:v>
      </x:c>
      <x:c r="I238" s="6" t="n">
        <x:f>'회귀분석'!$B$7+'회귀분석'!$B$6*F238</x:f>
        <x:v>18.0995804195804</x:v>
      </x:c>
      <x:c r="J238" s="6" t="n">
        <x:f>'회귀분석'!$E$7+'회귀분석'!$E$6*F238+'회귀분석'!$E$5*H238</x:f>
        <x:v>12.655636863133978</x:v>
      </x:c>
    </x:row>
    <x:row r="239">
      <x:c r="A239" s="6" t="n">
        <x:v>0</x:v>
      </x:c>
      <x:c r="B239" s="6" t="n">
        <x:v>0.6</x:v>
      </x:c>
      <x:c r="C239" s="6" t="n">
        <x:v>4.78</x:v>
      </x:c>
      <x:c r="D239" s="6" t="n">
        <x:v>4.24</x:v>
      </x:c>
      <x:c r="E239" s="6" t="n">
        <x:v>3.15</x:v>
      </x:c>
      <x:c r="F239" s="6" t="n">
        <x:v>0.375</x:v>
      </x:c>
      <x:c r="G239" s="6" t="n">
        <x:v>15.25</x:v>
      </x:c>
      <x:c r="H239" s="6" t="n">
        <x:v>0.140625</x:v>
      </x:c>
      <x:c r="I239" s="6" t="n">
        <x:f>'회귀분석'!$B$7+'회귀분석'!$B$6*F239</x:f>
        <x:v>21.141269730269713</x:v>
      </x:c>
      <x:c r="J239" s="6" t="n">
        <x:f>'회귀분석'!$E$7+'회귀분석'!$E$6*F239+'회귀분석'!$E$5*H239</x:f>
        <x:v>18.96369230769092</x:v>
      </x:c>
    </x:row>
    <x:row r="240">
      <x:c r="A240" s="6" t="n">
        <x:v>0</x:v>
      </x:c>
      <x:c r="B240" s="6" t="n">
        <x:v>0.6</x:v>
      </x:c>
      <x:c r="C240" s="6" t="n">
        <x:v>4.78</x:v>
      </x:c>
      <x:c r="D240" s="6" t="n">
        <x:v>4.24</x:v>
      </x:c>
      <x:c r="E240" s="6" t="n">
        <x:v>3.15</x:v>
      </x:c>
      <x:c r="F240" s="6" t="n">
        <x:v>0.4</x:v>
      </x:c>
      <x:c r="G240" s="6" t="n">
        <x:v>23.15</x:v>
      </x:c>
      <x:c r="H240" s="6" t="n">
        <x:v>0.16000000000000003</x:v>
      </x:c>
      <x:c r="I240" s="6" t="n">
        <x:f>'회귀분석'!$B$7+'회귀분석'!$B$6*F240</x:f>
        <x:v>24.18295904095902</x:v>
      </x:c>
      <x:c r="J240" s="6" t="n">
        <x:f>'회귀분석'!$E$7+'회귀분석'!$E$6*F240+'회귀분석'!$E$5*H240</x:f>
        <x:v>26.360536463537102</x:v>
      </x:c>
    </x:row>
    <x:row r="241">
      <x:c r="A241" s="6" t="n">
        <x:v>0</x:v>
      </x:c>
      <x:c r="B241" s="6" t="n">
        <x:v>0.6</x:v>
      </x:c>
      <x:c r="C241" s="6" t="n">
        <x:v>4.78</x:v>
      </x:c>
      <x:c r="D241" s="6" t="n">
        <x:v>4.24</x:v>
      </x:c>
      <x:c r="E241" s="6" t="n">
        <x:v>3.15</x:v>
      </x:c>
      <x:c r="F241" s="6" t="n">
        <x:v>0.425</x:v>
      </x:c>
      <x:c r="G241" s="6" t="n">
        <x:v>34.62</x:v>
      </x:c>
      <x:c r="H241" s="6" t="n">
        <x:v>0.18062499999999998</x:v>
      </x:c>
      <x:c r="I241" s="6" t="n">
        <x:f>'회귀분석'!$B$7+'회귀분석'!$B$6*F241</x:f>
        <x:v>27.224648351648327</x:v>
      </x:c>
      <x:c r="J241" s="6" t="n">
        <x:f>'회귀분석'!$E$7+'회귀분석'!$E$6*F241+'회귀분석'!$E$5*H241</x:f>
        <x:v>34.846169330672495</x:v>
      </x:c>
    </x:row>
    <x:row r="242">
      <x:c r="A242" s="6" t="n">
        <x:v>0</x:v>
      </x:c>
      <x:c r="B242" s="6" t="n">
        <x:v>0.6</x:v>
      </x:c>
      <x:c r="C242" s="6" t="n">
        <x:v>4.78</x:v>
      </x:c>
      <x:c r="D242" s="6" t="n">
        <x:v>4.24</x:v>
      </x:c>
      <x:c r="E242" s="6" t="n">
        <x:v>3.15</x:v>
      </x:c>
      <x:c r="F242" s="6" t="n">
        <x:v>0.45</x:v>
      </x:c>
      <x:c r="G242" s="6" t="n">
        <x:v>51.5</x:v>
      </x:c>
      <x:c r="H242" s="6" t="n">
        <x:v>0.2025</x:v>
      </x:c>
      <x:c r="I242" s="6" t="n">
        <x:f>'회귀분석'!$B$7+'회귀분석'!$B$6*F242</x:f>
        <x:v>30.266337662337634</x:v>
      </x:c>
      <x:c r="J242" s="6" t="n">
        <x:f>'회귀분석'!$E$7+'회귀분석'!$E$6*F242+'회귀분석'!$E$5*H242</x:f>
        <x:v>44.42059090909717</x:v>
      </x:c>
    </x:row>
    <x:row r="243">
      <x:c r="A243" s="6" t="n">
        <x:v>-5</x:v>
      </x:c>
      <x:c r="B243" s="6" t="n">
        <x:v>0.6</x:v>
      </x:c>
      <x:c r="C243" s="6" t="n">
        <x:v>4.78</x:v>
      </x:c>
      <x:c r="D243" s="6" t="n">
        <x:v>4.24</x:v>
      </x:c>
      <x:c r="E243" s="6" t="n">
        <x:v>3.15</x:v>
      </x:c>
      <x:c r="F243" s="6" t="n">
        <x:v>0.125</x:v>
      </x:c>
      <x:c r="G243" s="6" t="n">
        <x:v>0.06</x:v>
      </x:c>
      <x:c r="H243" s="6" t="n">
        <x:v>0.015625</x:v>
      </x:c>
      <x:c r="I243" s="6" t="n">
        <x:f>'회귀분석'!$B$7+'회귀분석'!$B$6*F243</x:f>
        <x:v>-9.275623376623363</x:v>
      </x:c>
      <x:c r="J243" s="6" t="n">
        <x:f>'회귀분석'!$E$7+'회귀분석'!$E$6*F243+'회귀분석'!$E$5*H243</x:f>
        <x:v>4.878629870137585</x:v>
      </x:c>
    </x:row>
    <x:row r="244">
      <x:c r="A244" s="6" t="n">
        <x:v>-5</x:v>
      </x:c>
      <x:c r="B244" s="6" t="n">
        <x:v>0.6</x:v>
      </x:c>
      <x:c r="C244" s="6" t="n">
        <x:v>4.78</x:v>
      </x:c>
      <x:c r="D244" s="6" t="n">
        <x:v>4.24</x:v>
      </x:c>
      <x:c r="E244" s="6" t="n">
        <x:v>3.15</x:v>
      </x:c>
      <x:c r="F244" s="6" t="n">
        <x:v>0.15</x:v>
      </x:c>
      <x:c r="G244" s="6" t="n">
        <x:v>0.15</x:v>
      </x:c>
      <x:c r="H244" s="6" t="n">
        <x:v>0.0225</x:v>
      </x:c>
      <x:c r="I244" s="6" t="n">
        <x:f>'회귀분석'!$B$7+'회귀분석'!$B$6*F244</x:f>
        <x:v>-6.233934065934058</x:v>
      </x:c>
      <x:c r="J244" s="6" t="n">
        <x:f>'회귀분석'!$E$7+'회귀분석'!$E$6*F244+'회귀분석'!$E$5*H244</x:f>
        <x:v>1.3875869130913223</x:v>
      </x:c>
    </x:row>
    <x:row r="245">
      <x:c r="A245" s="6" t="n">
        <x:v>-5</x:v>
      </x:c>
      <x:c r="B245" s="6" t="n">
        <x:v>0.6</x:v>
      </x:c>
      <x:c r="C245" s="6" t="n">
        <x:v>4.78</x:v>
      </x:c>
      <x:c r="D245" s="6" t="n">
        <x:v>4.24</x:v>
      </x:c>
      <x:c r="E245" s="6" t="n">
        <x:v>3.15</x:v>
      </x:c>
      <x:c r="F245" s="6" t="n">
        <x:v>0.175</x:v>
      </x:c>
      <x:c r="G245" s="6" t="n">
        <x:v>0.34</x:v>
      </x:c>
      <x:c r="H245" s="6" t="n">
        <x:v>0.030624999999999996</x:v>
      </x:c>
      <x:c r="I245" s="6" t="n">
        <x:f>'회귀분석'!$B$7+'회귀분석'!$B$6*F245</x:f>
        <x:v>-3.192244755244751</x:v>
      </x:c>
      <x:c r="J245" s="6" t="n">
        <x:f>'회귀분석'!$E$7+'회귀분석'!$E$6*F245+'회귀분석'!$E$5*H245</x:f>
        <x:v>-1.0146673326656988</x:v>
      </x:c>
    </x:row>
    <x:row r="246">
      <x:c r="A246" s="6" t="n">
        <x:v>-5</x:v>
      </x:c>
      <x:c r="B246" s="6" t="n">
        <x:v>0.6</x:v>
      </x:c>
      <x:c r="C246" s="6" t="n">
        <x:v>4.78</x:v>
      </x:c>
      <x:c r="D246" s="6" t="n">
        <x:v>4.24</x:v>
      </x:c>
      <x:c r="E246" s="6" t="n">
        <x:v>3.15</x:v>
      </x:c>
      <x:c r="F246" s="6" t="n">
        <x:v>0.2</x:v>
      </x:c>
      <x:c r="G246" s="6" t="n">
        <x:v>0.63</x:v>
      </x:c>
      <x:c r="H246" s="6" t="n">
        <x:v>0.04000000000000001</x:v>
      </x:c>
      <x:c r="I246" s="6" t="n">
        <x:f>'회귀분석'!$B$7+'회귀분석'!$B$6*F246</x:f>
        <x:v>-0.15055544455544023</x:v>
      </x:c>
      <x:c r="J246" s="6" t="n">
        <x:f>'회귀분석'!$E$7+'회귀분석'!$E$6*F246+'회귀분석'!$E$5*H246</x:f>
        <x:v>-2.3281328671334762</x:v>
      </x:c>
    </x:row>
    <x:row r="247">
      <x:c r="A247" s="6" t="n">
        <x:v>-5</x:v>
      </x:c>
      <x:c r="B247" s="6" t="n">
        <x:v>0.6</x:v>
      </x:c>
      <x:c r="C247" s="6" t="n">
        <x:v>4.78</x:v>
      </x:c>
      <x:c r="D247" s="6" t="n">
        <x:v>4.24</x:v>
      </x:c>
      <x:c r="E247" s="6" t="n">
        <x:v>3.15</x:v>
      </x:c>
      <x:c r="F247" s="6" t="n">
        <x:v>0.225</x:v>
      </x:c>
      <x:c r="G247" s="6" t="n">
        <x:v>1.13</x:v>
      </x:c>
      <x:c r="H247" s="6" t="n">
        <x:v>0.050625</x:v>
      </x:c>
      <x:c r="I247" s="6" t="n">
        <x:f>'회귀분석'!$B$7+'회귀분석'!$B$6*F247</x:f>
        <x:v>2.891133866133867</x:v>
      </x:c>
      <x:c r="J247" s="6" t="n">
        <x:f>'회귀분석'!$E$7+'회귀분석'!$E$6*F247+'회귀분석'!$E$5*H247</x:f>
        <x:v>-2.55280969031201</x:v>
      </x:c>
    </x:row>
    <x:row r="248">
      <x:c r="A248" s="6" t="n">
        <x:v>-5</x:v>
      </x:c>
      <x:c r="B248" s="6" t="n">
        <x:v>0.6</x:v>
      </x:c>
      <x:c r="C248" s="6" t="n">
        <x:v>4.78</x:v>
      </x:c>
      <x:c r="D248" s="6" t="n">
        <x:v>4.24</x:v>
      </x:c>
      <x:c r="E248" s="6" t="n">
        <x:v>3.15</x:v>
      </x:c>
      <x:c r="F248" s="6" t="n">
        <x:v>0.25</x:v>
      </x:c>
      <x:c r="G248" s="6" t="n">
        <x:v>1.85</x:v>
      </x:c>
      <x:c r="H248" s="6" t="n">
        <x:v>0.0625</x:v>
      </x:c>
      <x:c r="I248" s="6" t="n">
        <x:f>'회귀분석'!$B$7+'회귀분석'!$B$6*F248</x:f>
        <x:v>5.932823176823174</x:v>
      </x:c>
      <x:c r="J248" s="6" t="n">
        <x:f>'회귀분석'!$E$7+'회귀분석'!$E$6*F248+'회귀분석'!$E$5*H248</x:f>
        <x:v>-1.6886978022012968</x:v>
      </x:c>
    </x:row>
    <x:row r="249">
      <x:c r="A249" s="6" t="n">
        <x:v>-5</x:v>
      </x:c>
      <x:c r="B249" s="6" t="n">
        <x:v>0.6</x:v>
      </x:c>
      <x:c r="C249" s="6" t="n">
        <x:v>4.78</x:v>
      </x:c>
      <x:c r="D249" s="6" t="n">
        <x:v>4.24</x:v>
      </x:c>
      <x:c r="E249" s="6" t="n">
        <x:v>3.15</x:v>
      </x:c>
      <x:c r="F249" s="6" t="n">
        <x:v>0.275</x:v>
      </x:c>
      <x:c r="G249" s="6" t="n">
        <x:v>2.84</x:v>
      </x:c>
      <x:c r="H249" s="6" t="n">
        <x:v>0.07562500000000001</x:v>
      </x:c>
      <x:c r="I249" s="6" t="n">
        <x:f>'회귀분석'!$B$7+'회귀분석'!$B$6*F249</x:f>
        <x:v>8.974512487512484</x:v>
      </x:c>
      <x:c r="J249" s="6" t="n">
        <x:f>'회귀분석'!$E$7+'회귀분석'!$E$6*F249+'회귀분석'!$E$5*H249</x:f>
        <x:v>0.2642027971986636</x:v>
      </x:c>
    </x:row>
    <x:row r="250">
      <x:c r="A250" s="6" t="n">
        <x:v>-5</x:v>
      </x:c>
      <x:c r="B250" s="6" t="n">
        <x:v>0.6</x:v>
      </x:c>
      <x:c r="C250" s="6" t="n">
        <x:v>4.78</x:v>
      </x:c>
      <x:c r="D250" s="6" t="n">
        <x:v>4.24</x:v>
      </x:c>
      <x:c r="E250" s="6" t="n">
        <x:v>3.15</x:v>
      </x:c>
      <x:c r="F250" s="6" t="n">
        <x:v>0.3</x:v>
      </x:c>
      <x:c r="G250" s="6" t="n">
        <x:v>4.34</x:v>
      </x:c>
      <x:c r="H250" s="6" t="n">
        <x:v>0.09</x:v>
      </x:c>
      <x:c r="I250" s="6" t="n">
        <x:f>'회귀분석'!$B$7+'회귀분석'!$B$6*F250</x:f>
        <x:v>12.016201798201784</x:v>
      </x:c>
      <x:c r="J250" s="6" t="n">
        <x:f>'회귀분석'!$E$7+'회귀분석'!$E$6*F250+'회귀분석'!$E$5*H250</x:f>
        <x:v>3.305892107887857</x:v>
      </x:c>
    </x:row>
    <x:row r="251">
      <x:c r="A251" s="6" t="n">
        <x:v>-5</x:v>
      </x:c>
      <x:c r="B251" s="6" t="n">
        <x:v>0.6</x:v>
      </x:c>
      <x:c r="C251" s="6" t="n">
        <x:v>4.78</x:v>
      </x:c>
      <x:c r="D251" s="6" t="n">
        <x:v>4.24</x:v>
      </x:c>
      <x:c r="E251" s="6" t="n">
        <x:v>3.15</x:v>
      </x:c>
      <x:c r="F251" s="6" t="n">
        <x:v>0.325</x:v>
      </x:c>
      <x:c r="G251" s="6" t="n">
        <x:v>6.2</x:v>
      </x:c>
      <x:c r="H251" s="6" t="n">
        <x:v>0.10562500000000001</x:v>
      </x:c>
      <x:c r="I251" s="6" t="n">
        <x:f>'회귀분석'!$B$7+'회귀분석'!$B$6*F251</x:f>
        <x:v>15.057891108891098</x:v>
      </x:c>
      <x:c r="J251" s="6" t="n">
        <x:f>'회귀분석'!$E$7+'회귀분석'!$E$6*F251+'회귀분석'!$E$5*H251</x:f>
        <x:v>7.4363701298663045</x:v>
      </x:c>
    </x:row>
    <x:row r="252">
      <x:c r="A252" s="6" t="n">
        <x:v>-5</x:v>
      </x:c>
      <x:c r="B252" s="6" t="n">
        <x:v>0.6</x:v>
      </x:c>
      <x:c r="C252" s="6" t="n">
        <x:v>4.78</x:v>
      </x:c>
      <x:c r="D252" s="6" t="n">
        <x:v>4.24</x:v>
      </x:c>
      <x:c r="E252" s="6" t="n">
        <x:v>3.15</x:v>
      </x:c>
      <x:c r="F252" s="6" t="n">
        <x:v>0.35</x:v>
      </x:c>
      <x:c r="G252" s="6" t="n">
        <x:v>8.62</x:v>
      </x:c>
      <x:c r="H252" s="6" t="n">
        <x:v>0.12249999999999998</x:v>
      </x:c>
      <x:c r="I252" s="6" t="n">
        <x:f>'회귀분석'!$B$7+'회귀분석'!$B$6*F252</x:f>
        <x:v>18.0995804195804</x:v>
      </x:c>
      <x:c r="J252" s="6" t="n">
        <x:f>'회귀분석'!$E$7+'회귀분석'!$E$6*F252+'회귀분석'!$E$5*H252</x:f>
        <x:v>12.655636863133978</x:v>
      </x:c>
    </x:row>
    <x:row r="253">
      <x:c r="A253" s="6" t="n">
        <x:v>-5</x:v>
      </x:c>
      <x:c r="B253" s="6" t="n">
        <x:v>0.6</x:v>
      </x:c>
      <x:c r="C253" s="6" t="n">
        <x:v>4.78</x:v>
      </x:c>
      <x:c r="D253" s="6" t="n">
        <x:v>4.24</x:v>
      </x:c>
      <x:c r="E253" s="6" t="n">
        <x:v>3.15</x:v>
      </x:c>
      <x:c r="F253" s="6" t="n">
        <x:v>0.375</x:v>
      </x:c>
      <x:c r="G253" s="6" t="n">
        <x:v>12.49</x:v>
      </x:c>
      <x:c r="H253" s="6" t="n">
        <x:v>0.140625</x:v>
      </x:c>
      <x:c r="I253" s="6" t="n">
        <x:f>'회귀분석'!$B$7+'회귀분석'!$B$6*F253</x:f>
        <x:v>21.141269730269713</x:v>
      </x:c>
      <x:c r="J253" s="6" t="n">
        <x:f>'회귀분석'!$E$7+'회귀분석'!$E$6*F253+'회귀분석'!$E$5*H253</x:f>
        <x:v>18.96369230769092</x:v>
      </x:c>
    </x:row>
    <x:row r="254">
      <x:c r="A254" s="6" t="n">
        <x:v>-5</x:v>
      </x:c>
      <x:c r="B254" s="6" t="n">
        <x:v>0.6</x:v>
      </x:c>
      <x:c r="C254" s="6" t="n">
        <x:v>4.78</x:v>
      </x:c>
      <x:c r="D254" s="6" t="n">
        <x:v>4.24</x:v>
      </x:c>
      <x:c r="E254" s="6" t="n">
        <x:v>3.15</x:v>
      </x:c>
      <x:c r="F254" s="6" t="n">
        <x:v>0.4</x:v>
      </x:c>
      <x:c r="G254" s="6" t="n">
        <x:v>20.41</x:v>
      </x:c>
      <x:c r="H254" s="6" t="n">
        <x:v>0.16000000000000003</x:v>
      </x:c>
      <x:c r="I254" s="6" t="n">
        <x:f>'회귀분석'!$B$7+'회귀분석'!$B$6*F254</x:f>
        <x:v>24.18295904095902</x:v>
      </x:c>
      <x:c r="J254" s="6" t="n">
        <x:f>'회귀분석'!$E$7+'회귀분석'!$E$6*F254+'회귀분석'!$E$5*H254</x:f>
        <x:v>26.360536463537102</x:v>
      </x:c>
    </x:row>
    <x:row r="255">
      <x:c r="A255" s="6" t="n">
        <x:v>-5</x:v>
      </x:c>
      <x:c r="B255" s="6" t="n">
        <x:v>0.6</x:v>
      </x:c>
      <x:c r="C255" s="6" t="n">
        <x:v>4.78</x:v>
      </x:c>
      <x:c r="D255" s="6" t="n">
        <x:v>4.24</x:v>
      </x:c>
      <x:c r="E255" s="6" t="n">
        <x:v>3.15</x:v>
      </x:c>
      <x:c r="F255" s="6" t="n">
        <x:v>0.425</x:v>
      </x:c>
      <x:c r="G255" s="6" t="n">
        <x:v>32.46</x:v>
      </x:c>
      <x:c r="H255" s="6" t="n">
        <x:v>0.18062499999999998</x:v>
      </x:c>
      <x:c r="I255" s="6" t="n">
        <x:f>'회귀분석'!$B$7+'회귀분석'!$B$6*F255</x:f>
        <x:v>27.224648351648327</x:v>
      </x:c>
      <x:c r="J255" s="6" t="n">
        <x:f>'회귀분석'!$E$7+'회귀분석'!$E$6*F255+'회귀분석'!$E$5*H255</x:f>
        <x:v>34.846169330672495</x:v>
      </x:c>
    </x:row>
    <x:row r="256">
      <x:c r="A256" s="6" t="n">
        <x:v>-5</x:v>
      </x:c>
      <x:c r="B256" s="6" t="n">
        <x:v>0.6</x:v>
      </x:c>
      <x:c r="C256" s="6" t="n">
        <x:v>4.78</x:v>
      </x:c>
      <x:c r="D256" s="6" t="n">
        <x:v>4.24</x:v>
      </x:c>
      <x:c r="E256" s="6" t="n">
        <x:v>3.15</x:v>
      </x:c>
      <x:c r="F256" s="6" t="n">
        <x:v>0.45</x:v>
      </x:c>
      <x:c r="G256" s="6" t="n">
        <x:v>50.94</x:v>
      </x:c>
      <x:c r="H256" s="6" t="n">
        <x:v>0.2025</x:v>
      </x:c>
      <x:c r="I256" s="6" t="n">
        <x:f>'회귀분석'!$B$7+'회귀분석'!$B$6*F256</x:f>
        <x:v>30.266337662337634</x:v>
      </x:c>
      <x:c r="J256" s="6" t="n">
        <x:f>'회귀분석'!$E$7+'회귀분석'!$E$6*F256+'회귀분석'!$E$5*H256</x:f>
        <x:v>44.42059090909717</x:v>
      </x:c>
    </x:row>
    <x:row r="257">
      <x:c r="A257" s="6" t="n">
        <x:v>0</x:v>
      </x:c>
      <x:c r="B257" s="6" t="n">
        <x:v>0.53</x:v>
      </x:c>
      <x:c r="C257" s="6" t="n">
        <x:v>4.78</x:v>
      </x:c>
      <x:c r="D257" s="6" t="n">
        <x:v>3.75</x:v>
      </x:c>
      <x:c r="E257" s="6" t="n">
        <x:v>3.15</x:v>
      </x:c>
      <x:c r="F257" s="6" t="n">
        <x:v>0.125</x:v>
      </x:c>
      <x:c r="G257" s="6" t="n">
        <x:v>0.16</x:v>
      </x:c>
      <x:c r="H257" s="6" t="n">
        <x:v>0.015625</x:v>
      </x:c>
      <x:c r="I257" s="6" t="n">
        <x:f>'회귀분석'!$B$7+'회귀분석'!$B$6*F257</x:f>
        <x:v>-9.275623376623363</x:v>
      </x:c>
      <x:c r="J257" s="6" t="n">
        <x:f>'회귀분석'!$E$7+'회귀분석'!$E$6*F257+'회귀분석'!$E$5*H257</x:f>
        <x:v>4.878629870137585</x:v>
      </x:c>
    </x:row>
    <x:row r="258">
      <x:c r="A258" s="6" t="n">
        <x:v>0</x:v>
      </x:c>
      <x:c r="B258" s="6" t="n">
        <x:v>0.53</x:v>
      </x:c>
      <x:c r="C258" s="6" t="n">
        <x:v>4.78</x:v>
      </x:c>
      <x:c r="D258" s="6" t="n">
        <x:v>3.75</x:v>
      </x:c>
      <x:c r="E258" s="6" t="n">
        <x:v>3.15</x:v>
      </x:c>
      <x:c r="F258" s="6" t="n">
        <x:v>0.15</x:v>
      </x:c>
      <x:c r="G258" s="6" t="n">
        <x:v>0.32</x:v>
      </x:c>
      <x:c r="H258" s="6" t="n">
        <x:v>0.0225</x:v>
      </x:c>
      <x:c r="I258" s="6" t="n">
        <x:f>'회귀분석'!$B$7+'회귀분석'!$B$6*F258</x:f>
        <x:v>-6.233934065934058</x:v>
      </x:c>
      <x:c r="J258" s="6" t="n">
        <x:f>'회귀분석'!$E$7+'회귀분석'!$E$6*F258+'회귀분석'!$E$5*H258</x:f>
        <x:v>1.3875869130913223</x:v>
      </x:c>
    </x:row>
    <x:row r="259">
      <x:c r="A259" s="6" t="n">
        <x:v>0</x:v>
      </x:c>
      <x:c r="B259" s="6" t="n">
        <x:v>0.53</x:v>
      </x:c>
      <x:c r="C259" s="6" t="n">
        <x:v>4.78</x:v>
      </x:c>
      <x:c r="D259" s="6" t="n">
        <x:v>3.75</x:v>
      </x:c>
      <x:c r="E259" s="6" t="n">
        <x:v>3.15</x:v>
      </x:c>
      <x:c r="F259" s="6" t="n">
        <x:v>0.175</x:v>
      </x:c>
      <x:c r="G259" s="6" t="n">
        <x:v>0.59</x:v>
      </x:c>
      <x:c r="H259" s="6" t="n">
        <x:v>0.030624999999999996</x:v>
      </x:c>
      <x:c r="I259" s="6" t="n">
        <x:f>'회귀분석'!$B$7+'회귀분석'!$B$6*F259</x:f>
        <x:v>-3.192244755244751</x:v>
      </x:c>
      <x:c r="J259" s="6" t="n">
        <x:f>'회귀분석'!$E$7+'회귀분석'!$E$6*F259+'회귀분석'!$E$5*H259</x:f>
        <x:v>-1.0146673326656988</x:v>
      </x:c>
    </x:row>
    <x:row r="260">
      <x:c r="A260" s="6" t="n">
        <x:v>0</x:v>
      </x:c>
      <x:c r="B260" s="6" t="n">
        <x:v>0.53</x:v>
      </x:c>
      <x:c r="C260" s="6" t="n">
        <x:v>4.78</x:v>
      </x:c>
      <x:c r="D260" s="6" t="n">
        <x:v>3.75</x:v>
      </x:c>
      <x:c r="E260" s="6" t="n">
        <x:v>3.15</x:v>
      </x:c>
      <x:c r="F260" s="6" t="n">
        <x:v>0.2</x:v>
      </x:c>
      <x:c r="G260" s="6" t="n">
        <x:v>0.92</x:v>
      </x:c>
      <x:c r="H260" s="6" t="n">
        <x:v>0.04000000000000001</x:v>
      </x:c>
      <x:c r="I260" s="6" t="n">
        <x:f>'회귀분석'!$B$7+'회귀분석'!$B$6*F260</x:f>
        <x:v>-0.15055544455544023</x:v>
      </x:c>
      <x:c r="J260" s="6" t="n">
        <x:f>'회귀분석'!$E$7+'회귀분석'!$E$6*F260+'회귀분석'!$E$5*H260</x:f>
        <x:v>-2.3281328671334762</x:v>
      </x:c>
    </x:row>
    <x:row r="261">
      <x:c r="A261" s="6" t="n">
        <x:v>0</x:v>
      </x:c>
      <x:c r="B261" s="6" t="n">
        <x:v>0.53</x:v>
      </x:c>
      <x:c r="C261" s="6" t="n">
        <x:v>4.78</x:v>
      </x:c>
      <x:c r="D261" s="6" t="n">
        <x:v>3.75</x:v>
      </x:c>
      <x:c r="E261" s="6" t="n">
        <x:v>3.15</x:v>
      </x:c>
      <x:c r="F261" s="6" t="n">
        <x:v>0.225</x:v>
      </x:c>
      <x:c r="G261" s="6" t="n">
        <x:v>1.37</x:v>
      </x:c>
      <x:c r="H261" s="6" t="n">
        <x:v>0.050625</x:v>
      </x:c>
      <x:c r="I261" s="6" t="n">
        <x:f>'회귀분석'!$B$7+'회귀분석'!$B$6*F261</x:f>
        <x:v>2.891133866133867</x:v>
      </x:c>
      <x:c r="J261" s="6" t="n">
        <x:f>'회귀분석'!$E$7+'회귀분석'!$E$6*F261+'회귀분석'!$E$5*H261</x:f>
        <x:v>-2.55280969031201</x:v>
      </x:c>
    </x:row>
    <x:row r="262">
      <x:c r="A262" s="6" t="n">
        <x:v>0</x:v>
      </x:c>
      <x:c r="B262" s="6" t="n">
        <x:v>0.53</x:v>
      </x:c>
      <x:c r="C262" s="6" t="n">
        <x:v>4.78</x:v>
      </x:c>
      <x:c r="D262" s="6" t="n">
        <x:v>3.75</x:v>
      </x:c>
      <x:c r="E262" s="6" t="n">
        <x:v>3.15</x:v>
      </x:c>
      <x:c r="F262" s="6" t="n">
        <x:v>0.25</x:v>
      </x:c>
      <x:c r="G262" s="6" t="n">
        <x:v>1.94</x:v>
      </x:c>
      <x:c r="H262" s="6" t="n">
        <x:v>0.0625</x:v>
      </x:c>
      <x:c r="I262" s="6" t="n">
        <x:f>'회귀분석'!$B$7+'회귀분석'!$B$6*F262</x:f>
        <x:v>5.932823176823174</x:v>
      </x:c>
      <x:c r="J262" s="6" t="n">
        <x:f>'회귀분석'!$E$7+'회귀분석'!$E$6*F262+'회귀분석'!$E$5*H262</x:f>
        <x:v>-1.6886978022012968</x:v>
      </x:c>
    </x:row>
    <x:row r="263">
      <x:c r="A263" s="6" t="n">
        <x:v>0</x:v>
      </x:c>
      <x:c r="B263" s="6" t="n">
        <x:v>0.53</x:v>
      </x:c>
      <x:c r="C263" s="6" t="n">
        <x:v>4.78</x:v>
      </x:c>
      <x:c r="D263" s="6" t="n">
        <x:v>3.75</x:v>
      </x:c>
      <x:c r="E263" s="6" t="n">
        <x:v>3.15</x:v>
      </x:c>
      <x:c r="F263" s="6" t="n">
        <x:v>0.275</x:v>
      </x:c>
      <x:c r="G263" s="6" t="n">
        <x:v>2.62</x:v>
      </x:c>
      <x:c r="H263" s="6" t="n">
        <x:v>0.07562500000000001</x:v>
      </x:c>
      <x:c r="I263" s="6" t="n">
        <x:f>'회귀분석'!$B$7+'회귀분석'!$B$6*F263</x:f>
        <x:v>8.974512487512484</x:v>
      </x:c>
      <x:c r="J263" s="6" t="n">
        <x:f>'회귀분석'!$E$7+'회귀분석'!$E$6*F263+'회귀분석'!$E$5*H263</x:f>
        <x:v>0.2642027971986636</x:v>
      </x:c>
    </x:row>
    <x:row r="264">
      <x:c r="A264" s="6" t="n">
        <x:v>0</x:v>
      </x:c>
      <x:c r="B264" s="6" t="n">
        <x:v>0.53</x:v>
      </x:c>
      <x:c r="C264" s="6" t="n">
        <x:v>4.78</x:v>
      </x:c>
      <x:c r="D264" s="6" t="n">
        <x:v>3.75</x:v>
      </x:c>
      <x:c r="E264" s="6" t="n">
        <x:v>3.15</x:v>
      </x:c>
      <x:c r="F264" s="6" t="n">
        <x:v>0.3</x:v>
      </x:c>
      <x:c r="G264" s="6" t="n">
        <x:v>3.7</x:v>
      </x:c>
      <x:c r="H264" s="6" t="n">
        <x:v>0.09</x:v>
      </x:c>
      <x:c r="I264" s="6" t="n">
        <x:f>'회귀분석'!$B$7+'회귀분석'!$B$6*F264</x:f>
        <x:v>12.016201798201784</x:v>
      </x:c>
      <x:c r="J264" s="6" t="n">
        <x:f>'회귀분석'!$E$7+'회귀분석'!$E$6*F264+'회귀분석'!$E$5*H264</x:f>
        <x:v>3.305892107887857</x:v>
      </x:c>
    </x:row>
    <x:row r="265">
      <x:c r="A265" s="6" t="n">
        <x:v>0</x:v>
      </x:c>
      <x:c r="B265" s="6" t="n">
        <x:v>0.53</x:v>
      </x:c>
      <x:c r="C265" s="6" t="n">
        <x:v>4.78</x:v>
      </x:c>
      <x:c r="D265" s="6" t="n">
        <x:v>3.75</x:v>
      </x:c>
      <x:c r="E265" s="6" t="n">
        <x:v>3.15</x:v>
      </x:c>
      <x:c r="F265" s="6" t="n">
        <x:v>0.325</x:v>
      </x:c>
      <x:c r="G265" s="6" t="n">
        <x:v>5.45</x:v>
      </x:c>
      <x:c r="H265" s="6" t="n">
        <x:v>0.10562500000000001</x:v>
      </x:c>
      <x:c r="I265" s="6" t="n">
        <x:f>'회귀분석'!$B$7+'회귀분석'!$B$6*F265</x:f>
        <x:v>15.057891108891098</x:v>
      </x:c>
      <x:c r="J265" s="6" t="n">
        <x:f>'회귀분석'!$E$7+'회귀분석'!$E$6*F265+'회귀분석'!$E$5*H265</x:f>
        <x:v>7.4363701298663045</x:v>
      </x:c>
    </x:row>
    <x:row r="266">
      <x:c r="A266" s="6" t="n">
        <x:v>0</x:v>
      </x:c>
      <x:c r="B266" s="6" t="n">
        <x:v>0.53</x:v>
      </x:c>
      <x:c r="C266" s="6" t="n">
        <x:v>4.78</x:v>
      </x:c>
      <x:c r="D266" s="6" t="n">
        <x:v>3.75</x:v>
      </x:c>
      <x:c r="E266" s="6" t="n">
        <x:v>3.15</x:v>
      </x:c>
      <x:c r="F266" s="6" t="n">
        <x:v>0.35</x:v>
      </x:c>
      <x:c r="G266" s="6" t="n">
        <x:v>9.45</x:v>
      </x:c>
      <x:c r="H266" s="6" t="n">
        <x:v>0.12249999999999998</x:v>
      </x:c>
      <x:c r="I266" s="6" t="n">
        <x:f>'회귀분석'!$B$7+'회귀분석'!$B$6*F266</x:f>
        <x:v>18.0995804195804</x:v>
      </x:c>
      <x:c r="J266" s="6" t="n">
        <x:f>'회귀분석'!$E$7+'회귀분석'!$E$6*F266+'회귀분석'!$E$5*H266</x:f>
        <x:v>12.655636863133978</x:v>
      </x:c>
    </x:row>
    <x:row r="267">
      <x:c r="A267" s="6" t="n">
        <x:v>0</x:v>
      </x:c>
      <x:c r="B267" s="6" t="n">
        <x:v>0.53</x:v>
      </x:c>
      <x:c r="C267" s="6" t="n">
        <x:v>4.78</x:v>
      </x:c>
      <x:c r="D267" s="6" t="n">
        <x:v>3.75</x:v>
      </x:c>
      <x:c r="E267" s="6" t="n">
        <x:v>3.15</x:v>
      </x:c>
      <x:c r="F267" s="6" t="n">
        <x:v>0.375</x:v>
      </x:c>
      <x:c r="G267" s="6" t="n">
        <x:v>16.31</x:v>
      </x:c>
      <x:c r="H267" s="6" t="n">
        <x:v>0.140625</x:v>
      </x:c>
      <x:c r="I267" s="6" t="n">
        <x:f>'회귀분석'!$B$7+'회귀분석'!$B$6*F267</x:f>
        <x:v>21.141269730269713</x:v>
      </x:c>
      <x:c r="J267" s="6" t="n">
        <x:f>'회귀분석'!$E$7+'회귀분석'!$E$6*F267+'회귀분석'!$E$5*H267</x:f>
        <x:v>18.96369230769092</x:v>
      </x:c>
    </x:row>
    <x:row r="268">
      <x:c r="A268" s="6" t="n">
        <x:v>0</x:v>
      </x:c>
      <x:c r="B268" s="6" t="n">
        <x:v>0.53</x:v>
      </x:c>
      <x:c r="C268" s="6" t="n">
        <x:v>4.78</x:v>
      </x:c>
      <x:c r="D268" s="6" t="n">
        <x:v>3.75</x:v>
      </x:c>
      <x:c r="E268" s="6" t="n">
        <x:v>3.15</x:v>
      </x:c>
      <x:c r="F268" s="6" t="n">
        <x:v>0.4</x:v>
      </x:c>
      <x:c r="G268" s="6" t="n">
        <x:v>27.34</x:v>
      </x:c>
      <x:c r="H268" s="6" t="n">
        <x:v>0.16000000000000003</x:v>
      </x:c>
      <x:c r="I268" s="6" t="n">
        <x:f>'회귀분석'!$B$7+'회귀분석'!$B$6*F268</x:f>
        <x:v>24.18295904095902</x:v>
      </x:c>
      <x:c r="J268" s="6" t="n">
        <x:f>'회귀분석'!$E$7+'회귀분석'!$E$6*F268+'회귀분석'!$E$5*H268</x:f>
        <x:v>26.360536463537102</x:v>
      </x:c>
    </x:row>
    <x:row r="269">
      <x:c r="A269" s="6" t="n">
        <x:v>0</x:v>
      </x:c>
      <x:c r="B269" s="6" t="n">
        <x:v>0.53</x:v>
      </x:c>
      <x:c r="C269" s="6" t="n">
        <x:v>4.78</x:v>
      </x:c>
      <x:c r="D269" s="6" t="n">
        <x:v>3.75</x:v>
      </x:c>
      <x:c r="E269" s="6" t="n">
        <x:v>3.15</x:v>
      </x:c>
      <x:c r="F269" s="6" t="n">
        <x:v>0.425</x:v>
      </x:c>
      <x:c r="G269" s="6" t="n">
        <x:v>41.77</x:v>
      </x:c>
      <x:c r="H269" s="6" t="n">
        <x:v>0.18062499999999998</x:v>
      </x:c>
      <x:c r="I269" s="6" t="n">
        <x:f>'회귀분석'!$B$7+'회귀분석'!$B$6*F269</x:f>
        <x:v>27.224648351648327</x:v>
      </x:c>
      <x:c r="J269" s="6" t="n">
        <x:f>'회귀분석'!$E$7+'회귀분석'!$E$6*F269+'회귀분석'!$E$5*H269</x:f>
        <x:v>34.846169330672495</x:v>
      </x:c>
    </x:row>
    <x:row r="270">
      <x:c r="A270" s="6" t="n">
        <x:v>0</x:v>
      </x:c>
      <x:c r="B270" s="6" t="n">
        <x:v>0.53</x:v>
      </x:c>
      <x:c r="C270" s="6" t="n">
        <x:v>4.78</x:v>
      </x:c>
      <x:c r="D270" s="6" t="n">
        <x:v>3.75</x:v>
      </x:c>
      <x:c r="E270" s="6" t="n">
        <x:v>3.15</x:v>
      </x:c>
      <x:c r="F270" s="6" t="n">
        <x:v>0.45</x:v>
      </x:c>
      <x:c r="G270" s="6" t="n">
        <x:v>60.85</x:v>
      </x:c>
      <x:c r="H270" s="6" t="n">
        <x:v>0.2025</x:v>
      </x:c>
      <x:c r="I270" s="6" t="n">
        <x:f>'회귀분석'!$B$7+'회귀분석'!$B$6*F270</x:f>
        <x:v>30.266337662337634</x:v>
      </x:c>
      <x:c r="J270" s="6" t="n">
        <x:f>'회귀분석'!$E$7+'회귀분석'!$E$6*F270+'회귀분석'!$E$5*H270</x:f>
        <x:v>44.42059090909717</x:v>
      </x:c>
    </x:row>
    <x:row r="271">
      <x:c r="A271" s="6" t="n">
        <x:v>-5</x:v>
      </x:c>
      <x:c r="B271" s="6" t="n">
        <x:v>0.53</x:v>
      </x:c>
      <x:c r="C271" s="6" t="n">
        <x:v>4.78</x:v>
      </x:c>
      <x:c r="D271" s="6" t="n">
        <x:v>3.75</x:v>
      </x:c>
      <x:c r="E271" s="6" t="n">
        <x:v>3.15</x:v>
      </x:c>
      <x:c r="F271" s="6" t="n">
        <x:v>0.125</x:v>
      </x:c>
      <x:c r="G271" s="6" t="n">
        <x:v>0.09</x:v>
      </x:c>
      <x:c r="H271" s="6" t="n">
        <x:v>0.015625</x:v>
      </x:c>
      <x:c r="I271" s="6" t="n">
        <x:f>'회귀분석'!$B$7+'회귀분석'!$B$6*F271</x:f>
        <x:v>-9.275623376623363</x:v>
      </x:c>
      <x:c r="J271" s="6" t="n">
        <x:f>'회귀분석'!$E$7+'회귀분석'!$E$6*F271+'회귀분석'!$E$5*H271</x:f>
        <x:v>4.878629870137585</x:v>
      </x:c>
    </x:row>
    <x:row r="272">
      <x:c r="A272" s="6" t="n">
        <x:v>-5</x:v>
      </x:c>
      <x:c r="B272" s="6" t="n">
        <x:v>0.53</x:v>
      </x:c>
      <x:c r="C272" s="6" t="n">
        <x:v>4.78</x:v>
      </x:c>
      <x:c r="D272" s="6" t="n">
        <x:v>3.75</x:v>
      </x:c>
      <x:c r="E272" s="6" t="n">
        <x:v>3.15</x:v>
      </x:c>
      <x:c r="F272" s="6" t="n">
        <x:v>0.15</x:v>
      </x:c>
      <x:c r="G272" s="6" t="n">
        <x:v>0.24</x:v>
      </x:c>
      <x:c r="H272" s="6" t="n">
        <x:v>0.0225</x:v>
      </x:c>
      <x:c r="I272" s="6" t="n">
        <x:f>'회귀분석'!$B$7+'회귀분석'!$B$6*F272</x:f>
        <x:v>-6.233934065934058</x:v>
      </x:c>
      <x:c r="J272" s="6" t="n">
        <x:f>'회귀분석'!$E$7+'회귀분석'!$E$6*F272+'회귀분석'!$E$5*H272</x:f>
        <x:v>1.3875869130913223</x:v>
      </x:c>
    </x:row>
    <x:row r="273">
      <x:c r="A273" s="6" t="n">
        <x:v>-5</x:v>
      </x:c>
      <x:c r="B273" s="6" t="n">
        <x:v>0.53</x:v>
      </x:c>
      <x:c r="C273" s="6" t="n">
        <x:v>4.78</x:v>
      </x:c>
      <x:c r="D273" s="6" t="n">
        <x:v>3.75</x:v>
      </x:c>
      <x:c r="E273" s="6" t="n">
        <x:v>3.15</x:v>
      </x:c>
      <x:c r="F273" s="6" t="n">
        <x:v>0.175</x:v>
      </x:c>
      <x:c r="G273" s="6" t="n">
        <x:v>0.47</x:v>
      </x:c>
      <x:c r="H273" s="6" t="n">
        <x:v>0.030624999999999996</x:v>
      </x:c>
      <x:c r="I273" s="6" t="n">
        <x:f>'회귀분석'!$B$7+'회귀분석'!$B$6*F273</x:f>
        <x:v>-3.192244755244751</x:v>
      </x:c>
      <x:c r="J273" s="6" t="n">
        <x:f>'회귀분석'!$E$7+'회귀분석'!$E$6*F273+'회귀분석'!$E$5*H273</x:f>
        <x:v>-1.0146673326656988</x:v>
      </x:c>
    </x:row>
    <x:row r="274">
      <x:c r="A274" s="6" t="n">
        <x:v>-5</x:v>
      </x:c>
      <x:c r="B274" s="6" t="n">
        <x:v>0.53</x:v>
      </x:c>
      <x:c r="C274" s="6" t="n">
        <x:v>4.78</x:v>
      </x:c>
      <x:c r="D274" s="6" t="n">
        <x:v>3.75</x:v>
      </x:c>
      <x:c r="E274" s="6" t="n">
        <x:v>3.15</x:v>
      </x:c>
      <x:c r="F274" s="6" t="n">
        <x:v>0.2</x:v>
      </x:c>
      <x:c r="G274" s="6" t="n">
        <x:v>0.78</x:v>
      </x:c>
      <x:c r="H274" s="6" t="n">
        <x:v>0.04000000000000001</x:v>
      </x:c>
      <x:c r="I274" s="6" t="n">
        <x:f>'회귀분석'!$B$7+'회귀분석'!$B$6*F274</x:f>
        <x:v>-0.15055544455544023</x:v>
      </x:c>
      <x:c r="J274" s="6" t="n">
        <x:f>'회귀분석'!$E$7+'회귀분석'!$E$6*F274+'회귀분석'!$E$5*H274</x:f>
        <x:v>-2.3281328671334762</x:v>
      </x:c>
    </x:row>
    <x:row r="275">
      <x:c r="A275" s="6" t="n">
        <x:v>-5</x:v>
      </x:c>
      <x:c r="B275" s="6" t="n">
        <x:v>0.53</x:v>
      </x:c>
      <x:c r="C275" s="6" t="n">
        <x:v>4.78</x:v>
      </x:c>
      <x:c r="D275" s="6" t="n">
        <x:v>3.75</x:v>
      </x:c>
      <x:c r="E275" s="6" t="n">
        <x:v>3.15</x:v>
      </x:c>
      <x:c r="F275" s="6" t="n">
        <x:v>0.225</x:v>
      </x:c>
      <x:c r="G275" s="6" t="n">
        <x:v>1.21</x:v>
      </x:c>
      <x:c r="H275" s="6" t="n">
        <x:v>0.050625</x:v>
      </x:c>
      <x:c r="I275" s="6" t="n">
        <x:f>'회귀분석'!$B$7+'회귀분석'!$B$6*F275</x:f>
        <x:v>2.891133866133867</x:v>
      </x:c>
      <x:c r="J275" s="6" t="n">
        <x:f>'회귀분석'!$E$7+'회귀분석'!$E$6*F275+'회귀분석'!$E$5*H275</x:f>
        <x:v>-2.55280969031201</x:v>
      </x:c>
    </x:row>
    <x:row r="276">
      <x:c r="A276" s="6" t="n">
        <x:v>-5</x:v>
      </x:c>
      <x:c r="B276" s="6" t="n">
        <x:v>0.53</x:v>
      </x:c>
      <x:c r="C276" s="6" t="n">
        <x:v>4.78</x:v>
      </x:c>
      <x:c r="D276" s="6" t="n">
        <x:v>3.75</x:v>
      </x:c>
      <x:c r="E276" s="6" t="n">
        <x:v>3.15</x:v>
      </x:c>
      <x:c r="F276" s="6" t="n">
        <x:v>0.25</x:v>
      </x:c>
      <x:c r="G276" s="6" t="n">
        <x:v>1.85</x:v>
      </x:c>
      <x:c r="H276" s="6" t="n">
        <x:v>0.0625</x:v>
      </x:c>
      <x:c r="I276" s="6" t="n">
        <x:f>'회귀분석'!$B$7+'회귀분석'!$B$6*F276</x:f>
        <x:v>5.932823176823174</x:v>
      </x:c>
      <x:c r="J276" s="6" t="n">
        <x:f>'회귀분석'!$E$7+'회귀분석'!$E$6*F276+'회귀분석'!$E$5*H276</x:f>
        <x:v>-1.6886978022012968</x:v>
      </x:c>
    </x:row>
    <x:row r="277">
      <x:c r="A277" s="6" t="n">
        <x:v>-5</x:v>
      </x:c>
      <x:c r="B277" s="6" t="n">
        <x:v>0.53</x:v>
      </x:c>
      <x:c r="C277" s="6" t="n">
        <x:v>4.78</x:v>
      </x:c>
      <x:c r="D277" s="6" t="n">
        <x:v>3.75</x:v>
      </x:c>
      <x:c r="E277" s="6" t="n">
        <x:v>3.15</x:v>
      </x:c>
      <x:c r="F277" s="6" t="n">
        <x:v>0.275</x:v>
      </x:c>
      <x:c r="G277" s="6" t="n">
        <x:v>2.62</x:v>
      </x:c>
      <x:c r="H277" s="6" t="n">
        <x:v>0.07562500000000001</x:v>
      </x:c>
      <x:c r="I277" s="6" t="n">
        <x:f>'회귀분석'!$B$7+'회귀분석'!$B$6*F277</x:f>
        <x:v>8.974512487512484</x:v>
      </x:c>
      <x:c r="J277" s="6" t="n">
        <x:f>'회귀분석'!$E$7+'회귀분석'!$E$6*F277+'회귀분석'!$E$5*H277</x:f>
        <x:v>0.2642027971986636</x:v>
      </x:c>
    </x:row>
    <x:row r="278">
      <x:c r="A278" s="6" t="n">
        <x:v>-5</x:v>
      </x:c>
      <x:c r="B278" s="6" t="n">
        <x:v>0.53</x:v>
      </x:c>
      <x:c r="C278" s="6" t="n">
        <x:v>4.78</x:v>
      </x:c>
      <x:c r="D278" s="6" t="n">
        <x:v>3.75</x:v>
      </x:c>
      <x:c r="E278" s="6" t="n">
        <x:v>3.15</x:v>
      </x:c>
      <x:c r="F278" s="6" t="n">
        <x:v>0.3</x:v>
      </x:c>
      <x:c r="G278" s="6" t="n">
        <x:v>3.69</x:v>
      </x:c>
      <x:c r="H278" s="6" t="n">
        <x:v>0.09</x:v>
      </x:c>
      <x:c r="I278" s="6" t="n">
        <x:f>'회귀분석'!$B$7+'회귀분석'!$B$6*F278</x:f>
        <x:v>12.016201798201784</x:v>
      </x:c>
      <x:c r="J278" s="6" t="n">
        <x:f>'회귀분석'!$E$7+'회귀분석'!$E$6*F278+'회귀분석'!$E$5*H278</x:f>
        <x:v>3.305892107887857</x:v>
      </x:c>
    </x:row>
    <x:row r="279">
      <x:c r="A279" s="6" t="n">
        <x:v>-5</x:v>
      </x:c>
      <x:c r="B279" s="6" t="n">
        <x:v>0.53</x:v>
      </x:c>
      <x:c r="C279" s="6" t="n">
        <x:v>4.78</x:v>
      </x:c>
      <x:c r="D279" s="6" t="n">
        <x:v>3.75</x:v>
      </x:c>
      <x:c r="E279" s="6" t="n">
        <x:v>3.15</x:v>
      </x:c>
      <x:c r="F279" s="6" t="n">
        <x:v>0.325</x:v>
      </x:c>
      <x:c r="G279" s="6" t="n">
        <x:v>5.07</x:v>
      </x:c>
      <x:c r="H279" s="6" t="n">
        <x:v>0.10562500000000001</x:v>
      </x:c>
      <x:c r="I279" s="6" t="n">
        <x:f>'회귀분석'!$B$7+'회귀분석'!$B$6*F279</x:f>
        <x:v>15.057891108891098</x:v>
      </x:c>
      <x:c r="J279" s="6" t="n">
        <x:f>'회귀분석'!$E$7+'회귀분석'!$E$6*F279+'회귀분석'!$E$5*H279</x:f>
        <x:v>7.4363701298663045</x:v>
      </x:c>
    </x:row>
    <x:row r="280">
      <x:c r="A280" s="6" t="n">
        <x:v>-5</x:v>
      </x:c>
      <x:c r="B280" s="6" t="n">
        <x:v>0.53</x:v>
      </x:c>
      <x:c r="C280" s="6" t="n">
        <x:v>4.78</x:v>
      </x:c>
      <x:c r="D280" s="6" t="n">
        <x:v>3.75</x:v>
      </x:c>
      <x:c r="E280" s="6" t="n">
        <x:v>3.15</x:v>
      </x:c>
      <x:c r="F280" s="6" t="n">
        <x:v>0.35</x:v>
      </x:c>
      <x:c r="G280" s="6" t="n">
        <x:v>7.95</x:v>
      </x:c>
      <x:c r="H280" s="6" t="n">
        <x:v>0.12249999999999998</x:v>
      </x:c>
      <x:c r="I280" s="6" t="n">
        <x:f>'회귀분석'!$B$7+'회귀분석'!$B$6*F280</x:f>
        <x:v>18.0995804195804</x:v>
      </x:c>
      <x:c r="J280" s="6" t="n">
        <x:f>'회귀분석'!$E$7+'회귀분석'!$E$6*F280+'회귀분석'!$E$5*H280</x:f>
        <x:v>12.655636863133978</x:v>
      </x:c>
    </x:row>
    <x:row r="281">
      <x:c r="A281" s="6" t="n">
        <x:v>-5</x:v>
      </x:c>
      <x:c r="B281" s="6" t="n">
        <x:v>0.53</x:v>
      </x:c>
      <x:c r="C281" s="6" t="n">
        <x:v>4.78</x:v>
      </x:c>
      <x:c r="D281" s="6" t="n">
        <x:v>3.75</x:v>
      </x:c>
      <x:c r="E281" s="6" t="n">
        <x:v>3.15</x:v>
      </x:c>
      <x:c r="F281" s="6" t="n">
        <x:v>0.375</x:v>
      </x:c>
      <x:c r="G281" s="6" t="n">
        <x:v>13.73</x:v>
      </x:c>
      <x:c r="H281" s="6" t="n">
        <x:v>0.140625</x:v>
      </x:c>
      <x:c r="I281" s="6" t="n">
        <x:f>'회귀분석'!$B$7+'회귀분석'!$B$6*F281</x:f>
        <x:v>21.141269730269713</x:v>
      </x:c>
      <x:c r="J281" s="6" t="n">
        <x:f>'회귀분석'!$E$7+'회귀분석'!$E$6*F281+'회귀분석'!$E$5*H281</x:f>
        <x:v>18.96369230769092</x:v>
      </x:c>
    </x:row>
    <x:row r="282">
      <x:c r="A282" s="6" t="n">
        <x:v>-5</x:v>
      </x:c>
      <x:c r="B282" s="6" t="n">
        <x:v>0.53</x:v>
      </x:c>
      <x:c r="C282" s="6" t="n">
        <x:v>4.78</x:v>
      </x:c>
      <x:c r="D282" s="6" t="n">
        <x:v>3.75</x:v>
      </x:c>
      <x:c r="E282" s="6" t="n">
        <x:v>3.15</x:v>
      </x:c>
      <x:c r="F282" s="6" t="n">
        <x:v>0.4</x:v>
      </x:c>
      <x:c r="G282" s="6" t="n">
        <x:v>23.55</x:v>
      </x:c>
      <x:c r="H282" s="6" t="n">
        <x:v>0.16000000000000003</x:v>
      </x:c>
      <x:c r="I282" s="6" t="n">
        <x:f>'회귀분석'!$B$7+'회귀분석'!$B$6*F282</x:f>
        <x:v>24.18295904095902</x:v>
      </x:c>
      <x:c r="J282" s="6" t="n">
        <x:f>'회귀분석'!$E$7+'회귀분석'!$E$6*F282+'회귀분석'!$E$5*H282</x:f>
        <x:v>26.360536463537102</x:v>
      </x:c>
    </x:row>
    <x:row r="283">
      <x:c r="A283" s="6" t="n">
        <x:v>-5</x:v>
      </x:c>
      <x:c r="B283" s="6" t="n">
        <x:v>0.53</x:v>
      </x:c>
      <x:c r="C283" s="6" t="n">
        <x:v>4.78</x:v>
      </x:c>
      <x:c r="D283" s="6" t="n">
        <x:v>3.75</x:v>
      </x:c>
      <x:c r="E283" s="6" t="n">
        <x:v>3.15</x:v>
      </x:c>
      <x:c r="F283" s="6" t="n">
        <x:v>0.425</x:v>
      </x:c>
      <x:c r="G283" s="6" t="n">
        <x:v>37.14</x:v>
      </x:c>
      <x:c r="H283" s="6" t="n">
        <x:v>0.18062499999999998</x:v>
      </x:c>
      <x:c r="I283" s="6" t="n">
        <x:f>'회귀분석'!$B$7+'회귀분석'!$B$6*F283</x:f>
        <x:v>27.224648351648327</x:v>
      </x:c>
      <x:c r="J283" s="6" t="n">
        <x:f>'회귀분석'!$E$7+'회귀분석'!$E$6*F283+'회귀분석'!$E$5*H283</x:f>
        <x:v>34.846169330672495</x:v>
      </x:c>
    </x:row>
    <x:row r="284">
      <x:c r="A284" s="6" t="n">
        <x:v>-5</x:v>
      </x:c>
      <x:c r="B284" s="6" t="n">
        <x:v>0.53</x:v>
      </x:c>
      <x:c r="C284" s="6" t="n">
        <x:v>4.78</x:v>
      </x:c>
      <x:c r="D284" s="6" t="n">
        <x:v>3.75</x:v>
      </x:c>
      <x:c r="E284" s="6" t="n">
        <x:v>3.15</x:v>
      </x:c>
      <x:c r="F284" s="6" t="n">
        <x:v>0.45</x:v>
      </x:c>
      <x:c r="G284" s="6" t="n">
        <x:v>55.87</x:v>
      </x:c>
      <x:c r="H284" s="6" t="n">
        <x:v>0.2025</x:v>
      </x:c>
      <x:c r="I284" s="6" t="n">
        <x:f>'회귀분석'!$B$7+'회귀분석'!$B$6*F284</x:f>
        <x:v>30.266337662337634</x:v>
      </x:c>
      <x:c r="J284" s="6" t="n">
        <x:f>'회귀분석'!$E$7+'회귀분석'!$E$6*F284+'회귀분석'!$E$5*H284</x:f>
        <x:v>44.42059090909717</x:v>
      </x:c>
    </x:row>
    <x:row r="285">
      <x:c r="A285" s="6" t="n">
        <x:v>-2.3</x:v>
      </x:c>
      <x:c r="B285" s="6" t="n">
        <x:v>0.6</x:v>
      </x:c>
      <x:c r="C285" s="6" t="n">
        <x:v>5.1</x:v>
      </x:c>
      <x:c r="D285" s="6" t="n">
        <x:v>4.17</x:v>
      </x:c>
      <x:c r="E285" s="6" t="n">
        <x:v>3.51</x:v>
      </x:c>
      <x:c r="F285" s="6" t="n">
        <x:v>0.125</x:v>
      </x:c>
      <x:c r="G285" s="6" t="n">
        <x:v>0.01</x:v>
      </x:c>
      <x:c r="H285" s="6" t="n">
        <x:v>0.015625</x:v>
      </x:c>
      <x:c r="I285" s="6" t="n">
        <x:f>'회귀분석'!$B$7+'회귀분석'!$B$6*F285</x:f>
        <x:v>-9.275623376623363</x:v>
      </x:c>
      <x:c r="J285" s="6" t="n">
        <x:f>'회귀분석'!$E$7+'회귀분석'!$E$6*F285+'회귀분석'!$E$5*H285</x:f>
        <x:v>4.878629870137585</x:v>
      </x:c>
    </x:row>
    <x:row r="286">
      <x:c r="A286" s="6" t="n">
        <x:v>-2.3</x:v>
      </x:c>
      <x:c r="B286" s="6" t="n">
        <x:v>0.6</x:v>
      </x:c>
      <x:c r="C286" s="6" t="n">
        <x:v>5.1</x:v>
      </x:c>
      <x:c r="D286" s="6" t="n">
        <x:v>4.17</x:v>
      </x:c>
      <x:c r="E286" s="6" t="n">
        <x:v>3.51</x:v>
      </x:c>
      <x:c r="F286" s="6" t="n">
        <x:v>0.15</x:v>
      </x:c>
      <x:c r="G286" s="6" t="n">
        <x:v>0.16</x:v>
      </x:c>
      <x:c r="H286" s="6" t="n">
        <x:v>0.0225</x:v>
      </x:c>
      <x:c r="I286" s="6" t="n">
        <x:f>'회귀분석'!$B$7+'회귀분석'!$B$6*F286</x:f>
        <x:v>-6.233934065934058</x:v>
      </x:c>
      <x:c r="J286" s="6" t="n">
        <x:f>'회귀분석'!$E$7+'회귀분석'!$E$6*F286+'회귀분석'!$E$5*H286</x:f>
        <x:v>1.3875869130913223</x:v>
      </x:c>
    </x:row>
    <x:row r="287">
      <x:c r="A287" s="6" t="n">
        <x:v>-2.3</x:v>
      </x:c>
      <x:c r="B287" s="6" t="n">
        <x:v>0.6</x:v>
      </x:c>
      <x:c r="C287" s="6" t="n">
        <x:v>5.1</x:v>
      </x:c>
      <x:c r="D287" s="6" t="n">
        <x:v>4.17</x:v>
      </x:c>
      <x:c r="E287" s="6" t="n">
        <x:v>3.51</x:v>
      </x:c>
      <x:c r="F287" s="6" t="n">
        <x:v>0.175</x:v>
      </x:c>
      <x:c r="G287" s="6" t="n">
        <x:v>0.39</x:v>
      </x:c>
      <x:c r="H287" s="6" t="n">
        <x:v>0.030624999999999996</x:v>
      </x:c>
      <x:c r="I287" s="6" t="n">
        <x:f>'회귀분석'!$B$7+'회귀분석'!$B$6*F287</x:f>
        <x:v>-3.192244755244751</x:v>
      </x:c>
      <x:c r="J287" s="6" t="n">
        <x:f>'회귀분석'!$E$7+'회귀분석'!$E$6*F287+'회귀분석'!$E$5*H287</x:f>
        <x:v>-1.0146673326656988</x:v>
      </x:c>
    </x:row>
    <x:row r="288">
      <x:c r="A288" s="6" t="n">
        <x:v>-2.3</x:v>
      </x:c>
      <x:c r="B288" s="6" t="n">
        <x:v>0.6</x:v>
      </x:c>
      <x:c r="C288" s="6" t="n">
        <x:v>5.1</x:v>
      </x:c>
      <x:c r="D288" s="6" t="n">
        <x:v>4.17</x:v>
      </x:c>
      <x:c r="E288" s="6" t="n">
        <x:v>3.51</x:v>
      </x:c>
      <x:c r="F288" s="6" t="n">
        <x:v>0.2</x:v>
      </x:c>
      <x:c r="G288" s="6" t="n">
        <x:v>0.73</x:v>
      </x:c>
      <x:c r="H288" s="6" t="n">
        <x:v>0.04000000000000001</x:v>
      </x:c>
      <x:c r="I288" s="6" t="n">
        <x:f>'회귀분석'!$B$7+'회귀분석'!$B$6*F288</x:f>
        <x:v>-0.15055544455544023</x:v>
      </x:c>
      <x:c r="J288" s="6" t="n">
        <x:f>'회귀분석'!$E$7+'회귀분석'!$E$6*F288+'회귀분석'!$E$5*H288</x:f>
        <x:v>-2.3281328671334762</x:v>
      </x:c>
    </x:row>
    <x:row r="289">
      <x:c r="A289" s="6" t="n">
        <x:v>-2.3</x:v>
      </x:c>
      <x:c r="B289" s="6" t="n">
        <x:v>0.6</x:v>
      </x:c>
      <x:c r="C289" s="6" t="n">
        <x:v>5.1</x:v>
      </x:c>
      <x:c r="D289" s="6" t="n">
        <x:v>4.17</x:v>
      </x:c>
      <x:c r="E289" s="6" t="n">
        <x:v>3.51</x:v>
      </x:c>
      <x:c r="F289" s="6" t="n">
        <x:v>0.225</x:v>
      </x:c>
      <x:c r="G289" s="6" t="n">
        <x:v>1.24</x:v>
      </x:c>
      <x:c r="H289" s="6" t="n">
        <x:v>0.050625</x:v>
      </x:c>
      <x:c r="I289" s="6" t="n">
        <x:f>'회귀분석'!$B$7+'회귀분석'!$B$6*F289</x:f>
        <x:v>2.891133866133867</x:v>
      </x:c>
      <x:c r="J289" s="6" t="n">
        <x:f>'회귀분석'!$E$7+'회귀분석'!$E$6*F289+'회귀분석'!$E$5*H289</x:f>
        <x:v>-2.55280969031201</x:v>
      </x:c>
    </x:row>
    <x:row r="290">
      <x:c r="A290" s="6" t="n">
        <x:v>-2.3</x:v>
      </x:c>
      <x:c r="B290" s="6" t="n">
        <x:v>0.6</x:v>
      </x:c>
      <x:c r="C290" s="6" t="n">
        <x:v>5.1</x:v>
      </x:c>
      <x:c r="D290" s="6" t="n">
        <x:v>4.17</x:v>
      </x:c>
      <x:c r="E290" s="6" t="n">
        <x:v>3.51</x:v>
      </x:c>
      <x:c r="F290" s="6" t="n">
        <x:v>0.25</x:v>
      </x:c>
      <x:c r="G290" s="6" t="n">
        <x:v>1.96</x:v>
      </x:c>
      <x:c r="H290" s="6" t="n">
        <x:v>0.0625</x:v>
      </x:c>
      <x:c r="I290" s="6" t="n">
        <x:f>'회귀분석'!$B$7+'회귀분석'!$B$6*F290</x:f>
        <x:v>5.932823176823174</x:v>
      </x:c>
      <x:c r="J290" s="6" t="n">
        <x:f>'회귀분석'!$E$7+'회귀분석'!$E$6*F290+'회귀분석'!$E$5*H290</x:f>
        <x:v>-1.6886978022012968</x:v>
      </x:c>
    </x:row>
    <x:row r="291">
      <x:c r="A291" s="6" t="n">
        <x:v>-2.3</x:v>
      </x:c>
      <x:c r="B291" s="6" t="n">
        <x:v>0.6</x:v>
      </x:c>
      <x:c r="C291" s="6" t="n">
        <x:v>5.1</x:v>
      </x:c>
      <x:c r="D291" s="6" t="n">
        <x:v>4.17</x:v>
      </x:c>
      <x:c r="E291" s="6" t="n">
        <x:v>3.51</x:v>
      </x:c>
      <x:c r="F291" s="6" t="n">
        <x:v>0.275</x:v>
      </x:c>
      <x:c r="G291" s="6" t="n">
        <x:v>3.04</x:v>
      </x:c>
      <x:c r="H291" s="6" t="n">
        <x:v>0.07562500000000001</x:v>
      </x:c>
      <x:c r="I291" s="6" t="n">
        <x:f>'회귀분석'!$B$7+'회귀분석'!$B$6*F291</x:f>
        <x:v>8.974512487512484</x:v>
      </x:c>
      <x:c r="J291" s="6" t="n">
        <x:f>'회귀분석'!$E$7+'회귀분석'!$E$6*F291+'회귀분석'!$E$5*H291</x:f>
        <x:v>0.2642027971986636</x:v>
      </x:c>
    </x:row>
    <x:row r="292">
      <x:c r="A292" s="6" t="n">
        <x:v>-2.3</x:v>
      </x:c>
      <x:c r="B292" s="6" t="n">
        <x:v>0.6</x:v>
      </x:c>
      <x:c r="C292" s="6" t="n">
        <x:v>5.1</x:v>
      </x:c>
      <x:c r="D292" s="6" t="n">
        <x:v>4.17</x:v>
      </x:c>
      <x:c r="E292" s="6" t="n">
        <x:v>3.51</x:v>
      </x:c>
      <x:c r="F292" s="6" t="n">
        <x:v>0.3</x:v>
      </x:c>
      <x:c r="G292" s="6" t="n">
        <x:v>4.46</x:v>
      </x:c>
      <x:c r="H292" s="6" t="n">
        <x:v>0.09</x:v>
      </x:c>
      <x:c r="I292" s="6" t="n">
        <x:f>'회귀분석'!$B$7+'회귀분석'!$B$6*F292</x:f>
        <x:v>12.016201798201784</x:v>
      </x:c>
      <x:c r="J292" s="6" t="n">
        <x:f>'회귀분석'!$E$7+'회귀분석'!$E$6*F292+'회귀분석'!$E$5*H292</x:f>
        <x:v>3.305892107887857</x:v>
      </x:c>
    </x:row>
    <x:row r="293">
      <x:c r="A293" s="6" t="n">
        <x:v>-2.3</x:v>
      </x:c>
      <x:c r="B293" s="6" t="n">
        <x:v>0.6</x:v>
      </x:c>
      <x:c r="C293" s="6" t="n">
        <x:v>5.1</x:v>
      </x:c>
      <x:c r="D293" s="6" t="n">
        <x:v>4.17</x:v>
      </x:c>
      <x:c r="E293" s="6" t="n">
        <x:v>3.51</x:v>
      </x:c>
      <x:c r="F293" s="6" t="n">
        <x:v>0.325</x:v>
      </x:c>
      <x:c r="G293" s="6" t="n">
        <x:v>6.31</x:v>
      </x:c>
      <x:c r="H293" s="6" t="n">
        <x:v>0.10562500000000001</x:v>
      </x:c>
      <x:c r="I293" s="6" t="n">
        <x:f>'회귀분석'!$B$7+'회귀분석'!$B$6*F293</x:f>
        <x:v>15.057891108891098</x:v>
      </x:c>
      <x:c r="J293" s="6" t="n">
        <x:f>'회귀분석'!$E$7+'회귀분석'!$E$6*F293+'회귀분석'!$E$5*H293</x:f>
        <x:v>7.4363701298663045</x:v>
      </x:c>
    </x:row>
    <x:row r="294">
      <x:c r="A294" s="6" t="n">
        <x:v>-2.3</x:v>
      </x:c>
      <x:c r="B294" s="6" t="n">
        <x:v>0.6</x:v>
      </x:c>
      <x:c r="C294" s="6" t="n">
        <x:v>5.1</x:v>
      </x:c>
      <x:c r="D294" s="6" t="n">
        <x:v>4.17</x:v>
      </x:c>
      <x:c r="E294" s="6" t="n">
        <x:v>3.51</x:v>
      </x:c>
      <x:c r="F294" s="6" t="n">
        <x:v>0.35</x:v>
      </x:c>
      <x:c r="G294" s="6" t="n">
        <x:v>8.68</x:v>
      </x:c>
      <x:c r="H294" s="6" t="n">
        <x:v>0.12249999999999998</x:v>
      </x:c>
      <x:c r="I294" s="6" t="n">
        <x:f>'회귀분석'!$B$7+'회귀분석'!$B$6*F294</x:f>
        <x:v>18.0995804195804</x:v>
      </x:c>
      <x:c r="J294" s="6" t="n">
        <x:f>'회귀분석'!$E$7+'회귀분석'!$E$6*F294+'회귀분석'!$E$5*H294</x:f>
        <x:v>12.655636863133978</x:v>
      </x:c>
    </x:row>
    <x:row r="295">
      <x:c r="A295" s="6" t="n">
        <x:v>-2.3</x:v>
      </x:c>
      <x:c r="B295" s="6" t="n">
        <x:v>0.6</x:v>
      </x:c>
      <x:c r="C295" s="6" t="n">
        <x:v>5.1</x:v>
      </x:c>
      <x:c r="D295" s="6" t="n">
        <x:v>4.17</x:v>
      </x:c>
      <x:c r="E295" s="6" t="n">
        <x:v>3.51</x:v>
      </x:c>
      <x:c r="F295" s="6" t="n">
        <x:v>0.375</x:v>
      </x:c>
      <x:c r="G295" s="6" t="n">
        <x:v>12.39</x:v>
      </x:c>
      <x:c r="H295" s="6" t="n">
        <x:v>0.140625</x:v>
      </x:c>
      <x:c r="I295" s="6" t="n">
        <x:f>'회귀분석'!$B$7+'회귀분석'!$B$6*F295</x:f>
        <x:v>21.141269730269713</x:v>
      </x:c>
      <x:c r="J295" s="6" t="n">
        <x:f>'회귀분석'!$E$7+'회귀분석'!$E$6*F295+'회귀분석'!$E$5*H295</x:f>
        <x:v>18.96369230769092</x:v>
      </x:c>
    </x:row>
    <x:row r="296">
      <x:c r="A296" s="6" t="n">
        <x:v>-2.3</x:v>
      </x:c>
      <x:c r="B296" s="6" t="n">
        <x:v>0.6</x:v>
      </x:c>
      <x:c r="C296" s="6" t="n">
        <x:v>5.1</x:v>
      </x:c>
      <x:c r="D296" s="6" t="n">
        <x:v>4.17</x:v>
      </x:c>
      <x:c r="E296" s="6" t="n">
        <x:v>3.51</x:v>
      </x:c>
      <x:c r="F296" s="6" t="n">
        <x:v>0.4</x:v>
      </x:c>
      <x:c r="G296" s="6" t="n">
        <x:v>20.14</x:v>
      </x:c>
      <x:c r="H296" s="6" t="n">
        <x:v>0.16000000000000003</x:v>
      </x:c>
      <x:c r="I296" s="6" t="n">
        <x:f>'회귀분석'!$B$7+'회귀분석'!$B$6*F296</x:f>
        <x:v>24.18295904095902</x:v>
      </x:c>
      <x:c r="J296" s="6" t="n">
        <x:f>'회귀분석'!$E$7+'회귀분석'!$E$6*F296+'회귀분석'!$E$5*H296</x:f>
        <x:v>26.360536463537102</x:v>
      </x:c>
    </x:row>
    <x:row r="297">
      <x:c r="A297" s="6" t="n">
        <x:v>-2.3</x:v>
      </x:c>
      <x:c r="B297" s="6" t="n">
        <x:v>0.6</x:v>
      </x:c>
      <x:c r="C297" s="6" t="n">
        <x:v>5.1</x:v>
      </x:c>
      <x:c r="D297" s="6" t="n">
        <x:v>4.17</x:v>
      </x:c>
      <x:c r="E297" s="6" t="n">
        <x:v>3.51</x:v>
      </x:c>
      <x:c r="F297" s="6" t="n">
        <x:v>0.425</x:v>
      </x:c>
      <x:c r="G297" s="6" t="n">
        <x:v>31.77</x:v>
      </x:c>
      <x:c r="H297" s="6" t="n">
        <x:v>0.18062499999999998</x:v>
      </x:c>
      <x:c r="I297" s="6" t="n">
        <x:f>'회귀분석'!$B$7+'회귀분석'!$B$6*F297</x:f>
        <x:v>27.224648351648327</x:v>
      </x:c>
      <x:c r="J297" s="6" t="n">
        <x:f>'회귀분석'!$E$7+'회귀분석'!$E$6*F297+'회귀분석'!$E$5*H297</x:f>
        <x:v>34.846169330672495</x:v>
      </x:c>
    </x:row>
    <x:row r="298">
      <x:c r="A298" s="6" t="n">
        <x:v>-2.3</x:v>
      </x:c>
      <x:c r="B298" s="6" t="n">
        <x:v>0.6</x:v>
      </x:c>
      <x:c r="C298" s="6" t="n">
        <x:v>5.1</x:v>
      </x:c>
      <x:c r="D298" s="6" t="n">
        <x:v>4.17</x:v>
      </x:c>
      <x:c r="E298" s="6" t="n">
        <x:v>3.51</x:v>
      </x:c>
      <x:c r="F298" s="6" t="n">
        <x:v>0.45</x:v>
      </x:c>
      <x:c r="G298" s="6" t="n">
        <x:v>47.13</x:v>
      </x:c>
      <x:c r="H298" s="6" t="n">
        <x:v>0.2025</x:v>
      </x:c>
      <x:c r="I298" s="6" t="n">
        <x:f>'회귀분석'!$B$7+'회귀분석'!$B$6*F298</x:f>
        <x:v>30.266337662337634</x:v>
      </x:c>
      <x:c r="J298" s="6" t="n">
        <x:f>'회귀분석'!$E$7+'회귀분석'!$E$6*F298+'회귀분석'!$E$5*H298</x:f>
        <x:v>44.42059090909717</x:v>
      </x:c>
    </x:row>
    <x:row r="299">
      <x:c r="A299" s="6" t="n">
        <x:v>-2.3</x:v>
      </x:c>
      <x:c r="B299" s="6" t="n">
        <x:v>0.6</x:v>
      </x:c>
      <x:c r="C299" s="6" t="n">
        <x:v>4.34</x:v>
      </x:c>
      <x:c r="D299" s="6" t="n">
        <x:v>4.23</x:v>
      </x:c>
      <x:c r="E299" s="6" t="n">
        <x:v>2.73</x:v>
      </x:c>
      <x:c r="F299" s="6" t="n">
        <x:v>0.125</x:v>
      </x:c>
      <x:c r="G299" s="6" t="n">
        <x:v>0.04</x:v>
      </x:c>
      <x:c r="H299" s="6" t="n">
        <x:v>0.015625</x:v>
      </x:c>
      <x:c r="I299" s="6" t="n">
        <x:f>'회귀분석'!$B$7+'회귀분석'!$B$6*F299</x:f>
        <x:v>-9.275623376623363</x:v>
      </x:c>
      <x:c r="J299" s="6" t="n">
        <x:f>'회귀분석'!$E$7+'회귀분석'!$E$6*F299+'회귀분석'!$E$5*H299</x:f>
        <x:v>4.878629870137585</x:v>
      </x:c>
    </x:row>
    <x:row r="300">
      <x:c r="A300" s="6" t="n">
        <x:v>-2.3</x:v>
      </x:c>
      <x:c r="B300" s="6" t="n">
        <x:v>0.6</x:v>
      </x:c>
      <x:c r="C300" s="6" t="n">
        <x:v>4.34</x:v>
      </x:c>
      <x:c r="D300" s="6" t="n">
        <x:v>4.23</x:v>
      </x:c>
      <x:c r="E300" s="6" t="n">
        <x:v>2.73</x:v>
      </x:c>
      <x:c r="F300" s="6" t="n">
        <x:v>0.15</x:v>
      </x:c>
      <x:c r="G300" s="6" t="n">
        <x:v>0.17</x:v>
      </x:c>
      <x:c r="H300" s="6" t="n">
        <x:v>0.0225</x:v>
      </x:c>
      <x:c r="I300" s="6" t="n">
        <x:f>'회귀분석'!$B$7+'회귀분석'!$B$6*F300</x:f>
        <x:v>-6.233934065934058</x:v>
      </x:c>
      <x:c r="J300" s="6" t="n">
        <x:f>'회귀분석'!$E$7+'회귀분석'!$E$6*F300+'회귀분석'!$E$5*H300</x:f>
        <x:v>1.3875869130913223</x:v>
      </x:c>
    </x:row>
    <x:row r="301">
      <x:c r="A301" s="6" t="n">
        <x:v>-2.3</x:v>
      </x:c>
      <x:c r="B301" s="6" t="n">
        <x:v>0.6</x:v>
      </x:c>
      <x:c r="C301" s="6" t="n">
        <x:v>4.34</x:v>
      </x:c>
      <x:c r="D301" s="6" t="n">
        <x:v>4.23</x:v>
      </x:c>
      <x:c r="E301" s="6" t="n">
        <x:v>2.73</x:v>
      </x:c>
      <x:c r="F301" s="6" t="n">
        <x:v>0.175</x:v>
      </x:c>
      <x:c r="G301" s="6" t="n">
        <x:v>0.36</x:v>
      </x:c>
      <x:c r="H301" s="6" t="n">
        <x:v>0.030624999999999996</x:v>
      </x:c>
      <x:c r="I301" s="6" t="n">
        <x:f>'회귀분석'!$B$7+'회귀분석'!$B$6*F301</x:f>
        <x:v>-3.192244755244751</x:v>
      </x:c>
      <x:c r="J301" s="6" t="n">
        <x:f>'회귀분석'!$E$7+'회귀분석'!$E$6*F301+'회귀분석'!$E$5*H301</x:f>
        <x:v>-1.0146673326656988</x:v>
      </x:c>
    </x:row>
    <x:row r="302">
      <x:c r="A302" s="6" t="n">
        <x:v>-2.3</x:v>
      </x:c>
      <x:c r="B302" s="6" t="n">
        <x:v>0.6</x:v>
      </x:c>
      <x:c r="C302" s="6" t="n">
        <x:v>4.34</x:v>
      </x:c>
      <x:c r="D302" s="6" t="n">
        <x:v>4.23</x:v>
      </x:c>
      <x:c r="E302" s="6" t="n">
        <x:v>2.73</x:v>
      </x:c>
      <x:c r="F302" s="6" t="n">
        <x:v>0.2</x:v>
      </x:c>
      <x:c r="G302" s="6" t="n">
        <x:v>0.64</x:v>
      </x:c>
      <x:c r="H302" s="6" t="n">
        <x:v>0.04000000000000001</x:v>
      </x:c>
      <x:c r="I302" s="6" t="n">
        <x:f>'회귀분석'!$B$7+'회귀분석'!$B$6*F302</x:f>
        <x:v>-0.15055544455544023</x:v>
      </x:c>
      <x:c r="J302" s="6" t="n">
        <x:f>'회귀분석'!$E$7+'회귀분석'!$E$6*F302+'회귀분석'!$E$5*H302</x:f>
        <x:v>-2.3281328671334762</x:v>
      </x:c>
    </x:row>
    <x:row r="303">
      <x:c r="A303" s="6" t="n">
        <x:v>-2.3</x:v>
      </x:c>
      <x:c r="B303" s="6" t="n">
        <x:v>0.6</x:v>
      </x:c>
      <x:c r="C303" s="6" t="n">
        <x:v>4.34</x:v>
      </x:c>
      <x:c r="D303" s="6" t="n">
        <x:v>4.23</x:v>
      </x:c>
      <x:c r="E303" s="6" t="n">
        <x:v>2.73</x:v>
      </x:c>
      <x:c r="F303" s="6" t="n">
        <x:v>0.225</x:v>
      </x:c>
      <x:c r="G303" s="6" t="n">
        <x:v>1.02</x:v>
      </x:c>
      <x:c r="H303" s="6" t="n">
        <x:v>0.050625</x:v>
      </x:c>
      <x:c r="I303" s="6" t="n">
        <x:f>'회귀분석'!$B$7+'회귀분석'!$B$6*F303</x:f>
        <x:v>2.891133866133867</x:v>
      </x:c>
      <x:c r="J303" s="6" t="n">
        <x:f>'회귀분석'!$E$7+'회귀분석'!$E$6*F303+'회귀분석'!$E$5*H303</x:f>
        <x:v>-2.55280969031201</x:v>
      </x:c>
    </x:row>
    <x:row r="304">
      <x:c r="A304" s="6" t="n">
        <x:v>-2.3</x:v>
      </x:c>
      <x:c r="B304" s="6" t="n">
        <x:v>0.6</x:v>
      </x:c>
      <x:c r="C304" s="6" t="n">
        <x:v>4.34</x:v>
      </x:c>
      <x:c r="D304" s="6" t="n">
        <x:v>4.23</x:v>
      </x:c>
      <x:c r="E304" s="6" t="n">
        <x:v>2.73</x:v>
      </x:c>
      <x:c r="F304" s="6" t="n">
        <x:v>0.25</x:v>
      </x:c>
      <x:c r="G304" s="6" t="n">
        <x:v>1.62</x:v>
      </x:c>
      <x:c r="H304" s="6" t="n">
        <x:v>0.0625</x:v>
      </x:c>
      <x:c r="I304" s="6" t="n">
        <x:f>'회귀분석'!$B$7+'회귀분석'!$B$6*F304</x:f>
        <x:v>5.932823176823174</x:v>
      </x:c>
      <x:c r="J304" s="6" t="n">
        <x:f>'회귀분석'!$E$7+'회귀분석'!$E$6*F304+'회귀분석'!$E$5*H304</x:f>
        <x:v>-1.6886978022012968</x:v>
      </x:c>
    </x:row>
    <x:row r="305">
      <x:c r="A305" s="6" t="n">
        <x:v>-2.3</x:v>
      </x:c>
      <x:c r="B305" s="6" t="n">
        <x:v>0.6</x:v>
      </x:c>
      <x:c r="C305" s="6" t="n">
        <x:v>4.34</x:v>
      </x:c>
      <x:c r="D305" s="6" t="n">
        <x:v>4.23</x:v>
      </x:c>
      <x:c r="E305" s="6" t="n">
        <x:v>2.73</x:v>
      </x:c>
      <x:c r="F305" s="6" t="n">
        <x:v>0.275</x:v>
      </x:c>
      <x:c r="G305" s="6" t="n">
        <x:v>2.63</x:v>
      </x:c>
      <x:c r="H305" s="6" t="n">
        <x:v>0.07562500000000001</x:v>
      </x:c>
      <x:c r="I305" s="6" t="n">
        <x:f>'회귀분석'!$B$7+'회귀분석'!$B$6*F305</x:f>
        <x:v>8.974512487512484</x:v>
      </x:c>
      <x:c r="J305" s="6" t="n">
        <x:f>'회귀분석'!$E$7+'회귀분석'!$E$6*F305+'회귀분석'!$E$5*H305</x:f>
        <x:v>0.2642027971986636</x:v>
      </x:c>
    </x:row>
    <x:row r="306">
      <x:c r="A306" s="6" t="n">
        <x:v>-2.3</x:v>
      </x:c>
      <x:c r="B306" s="6" t="n">
        <x:v>0.6</x:v>
      </x:c>
      <x:c r="C306" s="6" t="n">
        <x:v>4.34</x:v>
      </x:c>
      <x:c r="D306" s="6" t="n">
        <x:v>4.23</x:v>
      </x:c>
      <x:c r="E306" s="6" t="n">
        <x:v>2.73</x:v>
      </x:c>
      <x:c r="F306" s="6" t="n">
        <x:v>0.3</x:v>
      </x:c>
      <x:c r="G306" s="6" t="n">
        <x:v>4.15</x:v>
      </x:c>
      <x:c r="H306" s="6" t="n">
        <x:v>0.09</x:v>
      </x:c>
      <x:c r="I306" s="6" t="n">
        <x:f>'회귀분석'!$B$7+'회귀분석'!$B$6*F306</x:f>
        <x:v>12.016201798201784</x:v>
      </x:c>
      <x:c r="J306" s="6" t="n">
        <x:f>'회귀분석'!$E$7+'회귀분석'!$E$6*F306+'회귀분석'!$E$5*H306</x:f>
        <x:v>3.305892107887857</x:v>
      </x:c>
    </x:row>
    <x:row r="307">
      <x:c r="A307" s="6" t="n">
        <x:v>-2.3</x:v>
      </x:c>
      <x:c r="B307" s="6" t="n">
        <x:v>0.6</x:v>
      </x:c>
      <x:c r="C307" s="6" t="n">
        <x:v>4.34</x:v>
      </x:c>
      <x:c r="D307" s="6" t="n">
        <x:v>4.23</x:v>
      </x:c>
      <x:c r="E307" s="6" t="n">
        <x:v>2.73</x:v>
      </x:c>
      <x:c r="F307" s="6" t="n">
        <x:v>0.325</x:v>
      </x:c>
      <x:c r="G307" s="6" t="n">
        <x:v>6</x:v>
      </x:c>
      <x:c r="H307" s="6" t="n">
        <x:v>0.10562500000000001</x:v>
      </x:c>
      <x:c r="I307" s="6" t="n">
        <x:f>'회귀분석'!$B$7+'회귀분석'!$B$6*F307</x:f>
        <x:v>15.057891108891098</x:v>
      </x:c>
      <x:c r="J307" s="6" t="n">
        <x:f>'회귀분석'!$E$7+'회귀분석'!$E$6*F307+'회귀분석'!$E$5*H307</x:f>
        <x:v>7.4363701298663045</x:v>
      </x:c>
    </x:row>
    <x:row r="308">
      <x:c r="A308" s="6" t="n">
        <x:v>-2.3</x:v>
      </x:c>
      <x:c r="B308" s="6" t="n">
        <x:v>0.6</x:v>
      </x:c>
      <x:c r="C308" s="6" t="n">
        <x:v>4.34</x:v>
      </x:c>
      <x:c r="D308" s="6" t="n">
        <x:v>4.23</x:v>
      </x:c>
      <x:c r="E308" s="6" t="n">
        <x:v>2.73</x:v>
      </x:c>
      <x:c r="F308" s="6" t="n">
        <x:v>0.35</x:v>
      </x:c>
      <x:c r="G308" s="6" t="n">
        <x:v>8.47</x:v>
      </x:c>
      <x:c r="H308" s="6" t="n">
        <x:v>0.12249999999999998</x:v>
      </x:c>
      <x:c r="I308" s="6" t="n">
        <x:f>'회귀분석'!$B$7+'회귀분석'!$B$6*F308</x:f>
        <x:v>18.0995804195804</x:v>
      </x:c>
      <x:c r="J308" s="6" t="n">
        <x:f>'회귀분석'!$E$7+'회귀분석'!$E$6*F308+'회귀분석'!$E$5*H308</x:f>
        <x:v>12.655636863133978</x:v>
      </x:c>
    </x:row>
    <x:row r="309">
      <x:c r="A309" s="6" t="n">
        <x:v>-2.3</x:v>
      </x:c>
      <x:c r="B309" s="6" t="n">
        <x:v>0.6</x:v>
      </x:c>
      <x:c r="C309" s="6" t="n">
        <x:v>4.34</x:v>
      </x:c>
      <x:c r="D309" s="6" t="n">
        <x:v>4.23</x:v>
      </x:c>
      <x:c r="E309" s="6" t="n">
        <x:v>2.73</x:v>
      </x:c>
      <x:c r="F309" s="6" t="n">
        <x:v>0.375</x:v>
      </x:c>
      <x:c r="G309" s="6" t="n">
        <x:v>12.27</x:v>
      </x:c>
      <x:c r="H309" s="6" t="n">
        <x:v>0.140625</x:v>
      </x:c>
      <x:c r="I309" s="6" t="n">
        <x:f>'회귀분석'!$B$7+'회귀분석'!$B$6*F309</x:f>
        <x:v>21.141269730269713</x:v>
      </x:c>
      <x:c r="J309" s="6" t="n">
        <x:f>'회귀분석'!$E$7+'회귀분석'!$E$6*F309+'회귀분석'!$E$5*H309</x:f>
        <x:v>18.96369230769092</x:v>
      </x:c>
    </x:row>
    <x:row r="310">
      <x:c r="A310" s="6" t="n">
        <x:v>-2.3</x:v>
      </x:c>
      <x:c r="B310" s="6" t="n">
        <x:v>0.6</x:v>
      </x:c>
      <x:c r="C310" s="6" t="n">
        <x:v>4.34</x:v>
      </x:c>
      <x:c r="D310" s="6" t="n">
        <x:v>4.23</x:v>
      </x:c>
      <x:c r="E310" s="6" t="n">
        <x:v>2.73</x:v>
      </x:c>
      <x:c r="F310" s="6" t="n">
        <x:v>0.4</x:v>
      </x:c>
      <x:c r="G310" s="6" t="n">
        <x:v>19.59</x:v>
      </x:c>
      <x:c r="H310" s="6" t="n">
        <x:v>0.16000000000000003</x:v>
      </x:c>
      <x:c r="I310" s="6" t="n">
        <x:f>'회귀분석'!$B$7+'회귀분석'!$B$6*F310</x:f>
        <x:v>24.18295904095902</x:v>
      </x:c>
      <x:c r="J310" s="6" t="n">
        <x:f>'회귀분석'!$E$7+'회귀분석'!$E$6*F310+'회귀분석'!$E$5*H310</x:f>
        <x:v>26.360536463537102</x:v>
      </x:c>
    </x:row>
    <x:row r="311">
      <x:c r="A311" s="6" t="n">
        <x:v>-2.3</x:v>
      </x:c>
      <x:c r="B311" s="6" t="n">
        <x:v>0.6</x:v>
      </x:c>
      <x:c r="C311" s="6" t="n">
        <x:v>4.34</x:v>
      </x:c>
      <x:c r="D311" s="6" t="n">
        <x:v>4.23</x:v>
      </x:c>
      <x:c r="E311" s="6" t="n">
        <x:v>2.73</x:v>
      </x:c>
      <x:c r="F311" s="6" t="n">
        <x:v>0.425</x:v>
      </x:c>
      <x:c r="G311" s="6" t="n">
        <x:v>30.48</x:v>
      </x:c>
      <x:c r="H311" s="6" t="n">
        <x:v>0.18062499999999998</x:v>
      </x:c>
      <x:c r="I311" s="6" t="n">
        <x:f>'회귀분석'!$B$7+'회귀분석'!$B$6*F311</x:f>
        <x:v>27.224648351648327</x:v>
      </x:c>
      <x:c r="J311" s="6" t="n">
        <x:f>'회귀분석'!$E$7+'회귀분석'!$E$6*F311+'회귀분석'!$E$5*H311</x:f>
        <x:v>34.846169330672495</x:v>
      </x:c>
    </x:row>
    <x:row r="312">
      <x:c r="A312" s="6" t="n">
        <x:v>-2.3</x:v>
      </x:c>
      <x:c r="B312" s="6" t="n">
        <x:v>0.6</x:v>
      </x:c>
      <x:c r="C312" s="6" t="n">
        <x:v>4.34</x:v>
      </x:c>
      <x:c r="D312" s="6" t="n">
        <x:v>4.23</x:v>
      </x:c>
      <x:c r="E312" s="6" t="n">
        <x:v>2.73</x:v>
      </x:c>
      <x:c r="F312" s="6" t="n">
        <x:v>0.45</x:v>
      </x:c>
      <x:c r="G312" s="6" t="n">
        <x:v>46.66</x:v>
      </x:c>
      <x:c r="H312" s="6" t="n">
        <x:v>0.2025</x:v>
      </x:c>
      <x:c r="I312" s="6" t="n">
        <x:f>'회귀분석'!$B$7+'회귀분석'!$B$6*F312</x:f>
        <x:v>30.266337662337634</x:v>
      </x:c>
      <x:c r="J312" s="6" t="n">
        <x:f>'회귀분석'!$E$7+'회귀분석'!$E$6*F312+'회귀분석'!$E$5*H312</x:f>
        <x:v>44.42059090909717</x:v>
      </x:c>
    </x:row>
  </x:sheetData>
  <x:pageMargins left="0.7" right="0.7" top="0.75" bottom="0.75" header="0.3" footer="0.3"/>
</x:worksheet>
</file>